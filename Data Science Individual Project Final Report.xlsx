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408"/>
  <workbookPr showInkAnnotation="0"/>
  <mc:AlternateContent xmlns:mc="http://schemas.openxmlformats.org/markup-compatibility/2006">
    <mc:Choice Requires="x15">
      <x15ac:absPath xmlns:x15ac="http://schemas.microsoft.com/office/spreadsheetml/2010/11/ac" url="/Users/apple/Desktop/Differential Privacy/"/>
    </mc:Choice>
  </mc:AlternateContent>
  <bookViews>
    <workbookView xWindow="13960" yWindow="760" windowWidth="19200" windowHeight="21060" tabRatio="500" activeTab="1"/>
  </bookViews>
  <sheets>
    <sheet name="Sheet1" sheetId="1" r:id="rId1"/>
    <sheet name="Sheet2" sheetId="2" r:id="rId2"/>
  </sheets>
  <definedNames>
    <definedName name="_xlnm._FilterDatabase" localSheetId="1" hidden="1">Sheet2!$A$1:$I$1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66" i="2" l="1"/>
  <c r="O65" i="2"/>
  <c r="O64" i="2"/>
  <c r="O63" i="2"/>
  <c r="O62" i="2"/>
  <c r="O61" i="2"/>
  <c r="M26" i="1"/>
  <c r="M20" i="1"/>
  <c r="M13" i="1"/>
  <c r="M7" i="1"/>
  <c r="M1" i="1"/>
</calcChain>
</file>

<file path=xl/sharedStrings.xml><?xml version="1.0" encoding="utf-8"?>
<sst xmlns="http://schemas.openxmlformats.org/spreadsheetml/2006/main" count="166" uniqueCount="6">
  <si>
    <t>tsmc_tky</t>
  </si>
  <si>
    <t>lognormal</t>
  </si>
  <si>
    <t>ubicomp</t>
  </si>
  <si>
    <t>conpolblogs</t>
  </si>
  <si>
    <t>exponential</t>
  </si>
  <si>
    <t>tsmc_nyc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</si>
</sst>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_rels/chart6.xml.rels><?xml version="1.0" encoding="UTF-8" standalone="yes"?>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</Relationships>
</file>

<file path=xl/charts/_rels/chart7.xml.rels><?xml version="1.0" encoding="UTF-8" standalone="yes"?>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</Relationships>
</file>

<file path=xl/charts/_rels/chart8.xml.rels><?xml version="1.0" encoding="UTF-8" standalone="yes"?>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</Relationships>
</file>

<file path=xl/charts/_rels/chart9.xml.rels><?xml version="1.0" encoding="UTF-8" standalone="yes"?>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</Relationships>
</file>

<file path=xl/charts/_rels/chart10.xml.rels><?xml version="1.0" encoding="UTF-8" standalone="yes"?>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</Relationships>
</file>

<file path=xl/charts/_rels/chart11.xml.rels><?xml version="1.0" encoding="UTF-8" standalone="yes"?>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</Relationships>
</file>

<file path=xl/charts/_rels/chart12.xml.rels><?xml version="1.0" encoding="UTF-8" standalone="yes"?>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</Relationships>
</file>

<file path=xl/charts/_rels/chart13.xml.rels><?xml version="1.0" encoding="UTF-8" standalone="yes"?>
<Relationships xmlns="http://schemas.openxmlformats.org/package/2006/relationships"><Relationship Id="rId1" Type="http://schemas.microsoft.com/office/2011/relationships/chartStyle" Target="style13.xml"/><Relationship Id="rId2" Type="http://schemas.microsoft.com/office/2011/relationships/chartColorStyle" Target="colors13.xml"/></Relationships>
</file>

<file path=xl/charts/_rels/chart14.xml.rels><?xml version="1.0" encoding="UTF-8" standalone="yes"?>
<Relationships xmlns="http://schemas.openxmlformats.org/package/2006/relationships"><Relationship Id="rId1" Type="http://schemas.microsoft.com/office/2011/relationships/chartStyle" Target="style14.xml"/><Relationship Id="rId2" Type="http://schemas.microsoft.com/office/2011/relationships/chartColorStyle" Target="colors14.xml"/></Relationships>
</file>

<file path=xl/charts/_rels/chart15.xml.rels><?xml version="1.0" encoding="UTF-8" standalone="yes"?>
<Relationships xmlns="http://schemas.openxmlformats.org/package/2006/relationships"><Relationship Id="rId1" Type="http://schemas.microsoft.com/office/2011/relationships/chartStyle" Target="style15.xml"/><Relationship Id="rId2" Type="http://schemas.microsoft.com/office/2011/relationships/chartColorStyle" Target="colors15.xml"/></Relationships>
</file>

<file path=xl/charts/_rels/chart16.xml.rels><?xml version="1.0" encoding="UTF-8" standalone="yes"?>
<Relationships xmlns="http://schemas.openxmlformats.org/package/2006/relationships"><Relationship Id="rId1" Type="http://schemas.microsoft.com/office/2011/relationships/chartStyle" Target="style16.xml"/><Relationship Id="rId2" Type="http://schemas.microsoft.com/office/2011/relationships/chartColorStyle" Target="colors16.xml"/></Relationships>
</file>

<file path=xl/charts/_rels/chart17.xml.rels><?xml version="1.0" encoding="UTF-8" standalone="yes"?>
<Relationships xmlns="http://schemas.openxmlformats.org/package/2006/relationships"><Relationship Id="rId1" Type="http://schemas.microsoft.com/office/2011/relationships/chartStyle" Target="style17.xml"/><Relationship Id="rId2" Type="http://schemas.microsoft.com/office/2011/relationships/chartColorStyle" Target="colors17.xml"/></Relationships>
</file>

<file path=xl/charts/_rels/chart18.xml.rels><?xml version="1.0" encoding="UTF-8" standalone="yes"?>
<Relationships xmlns="http://schemas.openxmlformats.org/package/2006/relationships"><Relationship Id="rId1" Type="http://schemas.microsoft.com/office/2011/relationships/chartStyle" Target="style18.xml"/><Relationship Id="rId2" Type="http://schemas.microsoft.com/office/2011/relationships/chartColorStyle" Target="colors18.xml"/></Relationships>
</file>

<file path=xl/charts/_rels/chart19.xml.rels><?xml version="1.0" encoding="UTF-8" standalone="yes"?>
<Relationships xmlns="http://schemas.openxmlformats.org/package/2006/relationships"><Relationship Id="rId1" Type="http://schemas.microsoft.com/office/2011/relationships/chartStyle" Target="style19.xml"/><Relationship Id="rId2" Type="http://schemas.microsoft.com/office/2011/relationships/chartColorStyle" Target="colors19.xml"/></Relationships>
</file>

<file path=xl/charts/_rels/chart20.xml.rels><?xml version="1.0" encoding="UTF-8" standalone="yes"?>
<Relationships xmlns="http://schemas.openxmlformats.org/package/2006/relationships"><Relationship Id="rId1" Type="http://schemas.microsoft.com/office/2011/relationships/chartStyle" Target="style20.xml"/><Relationship Id="rId2" Type="http://schemas.microsoft.com/office/2011/relationships/chartColorStyle" Target="colors20.xml"/></Relationships>
</file>

<file path=xl/charts/_rels/chart21.xml.rels><?xml version="1.0" encoding="UTF-8" standalone="yes"?>
<Relationships xmlns="http://schemas.openxmlformats.org/package/2006/relationships"><Relationship Id="rId1" Type="http://schemas.microsoft.com/office/2011/relationships/chartStyle" Target="style21.xml"/><Relationship Id="rId2" Type="http://schemas.microsoft.com/office/2011/relationships/chartColorStyle" Target="colors21.xml"/></Relationships>
</file>

<file path=xl/charts/_rels/chart22.xml.rels><?xml version="1.0" encoding="UTF-8" standalone="yes"?>
<Relationships xmlns="http://schemas.openxmlformats.org/package/2006/relationships"><Relationship Id="rId1" Type="http://schemas.microsoft.com/office/2011/relationships/chartStyle" Target="style22.xml"/><Relationship Id="rId2" Type="http://schemas.microsoft.com/office/2011/relationships/chartColorStyle" Target="colors22.xml"/></Relationships>
</file>

<file path=xl/charts/_rels/chart23.xml.rels><?xml version="1.0" encoding="UTF-8" standalone="yes"?>
<Relationships xmlns="http://schemas.openxmlformats.org/package/2006/relationships"><Relationship Id="rId1" Type="http://schemas.microsoft.com/office/2011/relationships/chartStyle" Target="style23.xml"/><Relationship Id="rId2" Type="http://schemas.microsoft.com/office/2011/relationships/chartColorStyle" Target="colors23.xml"/></Relationships>
</file>

<file path=xl/charts/_rels/chart24.xml.rels><?xml version="1.0" encoding="UTF-8" standalone="yes"?>
<Relationships xmlns="http://schemas.openxmlformats.org/package/2006/relationships"><Relationship Id="rId1" Type="http://schemas.microsoft.com/office/2011/relationships/chartStyle" Target="style24.xml"/><Relationship Id="rId2" Type="http://schemas.microsoft.com/office/2011/relationships/chartColorStyle" Target="colors24.xml"/></Relationships>
</file>

<file path=xl/charts/_rels/chart25.xml.rels><?xml version="1.0" encoding="UTF-8" standalone="yes"?>
<Relationships xmlns="http://schemas.openxmlformats.org/package/2006/relationships"><Relationship Id="rId1" Type="http://schemas.microsoft.com/office/2011/relationships/chartStyle" Target="style25.xml"/><Relationship Id="rId2" Type="http://schemas.microsoft.com/office/2011/relationships/chartColorStyle" Target="colors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tsmc_tky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Sheet1!$E$1:$E$6</c:f>
              <c:numCache>
                <c:formatCode>General</c:formatCode>
                <c:ptCount val="6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xVal>
          <c:yVal>
            <c:numRef>
              <c:f>Sheet1!$G$1:$G$6</c:f>
              <c:numCache>
                <c:formatCode>General</c:formatCode>
                <c:ptCount val="6"/>
                <c:pt idx="0">
                  <c:v>838.118963533622</c:v>
                </c:pt>
                <c:pt idx="1">
                  <c:v>835.202524057918</c:v>
                </c:pt>
                <c:pt idx="2">
                  <c:v>856.71734493037</c:v>
                </c:pt>
                <c:pt idx="3">
                  <c:v>876.472210638324</c:v>
                </c:pt>
                <c:pt idx="4">
                  <c:v>911.471424286059</c:v>
                </c:pt>
                <c:pt idx="5">
                  <c:v>964.2065007424141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05715360"/>
        <c:axId val="-2105681760"/>
      </c:scatterChart>
      <c:valAx>
        <c:axId val="-210571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𝛿</a:t>
                </a:r>
                <a:r>
                  <a:rPr lang="en-GB" sz="1000" b="0" i="0" u="none" strike="noStrike" baseline="0">
                    <a:effectLst/>
                  </a:rPr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05681760"/>
        <c:crosses val="autoZero"/>
        <c:crossBetween val="midCat"/>
      </c:valAx>
      <c:valAx>
        <c:axId val="-210568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Squared</a:t>
                </a:r>
                <a:r>
                  <a:rPr lang="en-US" baseline="0"/>
                  <a:t> Error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0571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lognormal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Sheet1!$E$7:$E$12</c:f>
              <c:numCache>
                <c:formatCode>General</c:formatCode>
                <c:ptCount val="6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xVal>
          <c:yVal>
            <c:numRef>
              <c:f>Sheet1!$G$7:$G$12</c:f>
              <c:numCache>
                <c:formatCode>General</c:formatCode>
                <c:ptCount val="6"/>
                <c:pt idx="0">
                  <c:v>860.775180342184</c:v>
                </c:pt>
                <c:pt idx="1">
                  <c:v>855.235906121927</c:v>
                </c:pt>
                <c:pt idx="2">
                  <c:v>874.992711185586</c:v>
                </c:pt>
                <c:pt idx="3">
                  <c:v>896.102162090828</c:v>
                </c:pt>
                <c:pt idx="4">
                  <c:v>925.233673347771</c:v>
                </c:pt>
                <c:pt idx="5">
                  <c:v>984.4321736031141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5739120"/>
        <c:axId val="-2085730048"/>
      </c:scatterChart>
      <c:valAx>
        <c:axId val="-208573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𝛿</a:t>
                </a:r>
                <a:r>
                  <a:rPr lang="en-GB" sz="1000" b="0" i="0" u="none" strike="noStrike" baseline="0">
                    <a:effectLst/>
                  </a:rPr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5730048"/>
        <c:crosses val="autoZero"/>
        <c:crossBetween val="midCat"/>
      </c:valAx>
      <c:valAx>
        <c:axId val="-208573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Squared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5739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ubicomp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Sheet1!$E$13:$E$19</c:f>
              <c:numCache>
                <c:formatCode>General</c:formatCode>
                <c:ptCount val="7"/>
                <c:pt idx="0">
                  <c:v>0.0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</c:numCache>
            </c:numRef>
          </c:xVal>
          <c:yVal>
            <c:numRef>
              <c:f>Sheet1!$G$13:$G$19</c:f>
              <c:numCache>
                <c:formatCode>General</c:formatCode>
                <c:ptCount val="7"/>
                <c:pt idx="0">
                  <c:v>833.410035942562</c:v>
                </c:pt>
                <c:pt idx="1">
                  <c:v>830.823361337482</c:v>
                </c:pt>
                <c:pt idx="2">
                  <c:v>829.891448163489</c:v>
                </c:pt>
                <c:pt idx="3">
                  <c:v>844.786147813738</c:v>
                </c:pt>
                <c:pt idx="4">
                  <c:v>856.100796385495</c:v>
                </c:pt>
                <c:pt idx="5">
                  <c:v>895.95919350226</c:v>
                </c:pt>
                <c:pt idx="6">
                  <c:v>910.901060578226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5702000"/>
        <c:axId val="-2085692768"/>
      </c:scatterChart>
      <c:valAx>
        <c:axId val="-208570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kern="1200" baseline="0">
                    <a:solidFill>
                      <a:srgbClr val="595959"/>
                    </a:solidFill>
                    <a:effectLst/>
                  </a:rPr>
                  <a:t>𝛿 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5692768"/>
        <c:crosses val="autoZero"/>
        <c:crossBetween val="midCat"/>
      </c:valAx>
      <c:valAx>
        <c:axId val="-208569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Squared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5702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conpolblog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Sheet1!$E$20:$E$25</c:f>
              <c:numCache>
                <c:formatCode>General</c:formatCode>
                <c:ptCount val="6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xVal>
          <c:yVal>
            <c:numRef>
              <c:f>Sheet1!$G$20:$G$25</c:f>
              <c:numCache>
                <c:formatCode>General</c:formatCode>
                <c:ptCount val="6"/>
                <c:pt idx="0">
                  <c:v>942.202466147756</c:v>
                </c:pt>
                <c:pt idx="1">
                  <c:v>935.324925374705</c:v>
                </c:pt>
                <c:pt idx="2">
                  <c:v>978.233481404727</c:v>
                </c:pt>
                <c:pt idx="3">
                  <c:v>983.996056027582</c:v>
                </c:pt>
                <c:pt idx="4">
                  <c:v>1034.10307600851</c:v>
                </c:pt>
                <c:pt idx="5">
                  <c:v>1095.34263869353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2903632"/>
        <c:axId val="-2082894528"/>
      </c:scatterChart>
      <c:valAx>
        <c:axId val="-208290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𝛿</a:t>
                </a:r>
                <a:r>
                  <a:rPr lang="en-GB" sz="1000" b="0" i="0" u="none" strike="noStrike" baseline="0">
                    <a:effectLst/>
                  </a:rPr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2894528"/>
        <c:crosses val="autoZero"/>
        <c:crossBetween val="midCat"/>
      </c:valAx>
      <c:valAx>
        <c:axId val="-208289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Squared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290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exponential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Sheet1!$E$26:$E$32</c:f>
              <c:numCache>
                <c:formatCode>General</c:formatCode>
                <c:ptCount val="7"/>
                <c:pt idx="0">
                  <c:v>0.0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</c:numCache>
            </c:numRef>
          </c:xVal>
          <c:yVal>
            <c:numRef>
              <c:f>Sheet1!$G$26:$G$32</c:f>
              <c:numCache>
                <c:formatCode>General</c:formatCode>
                <c:ptCount val="7"/>
                <c:pt idx="0">
                  <c:v>872.468725636498</c:v>
                </c:pt>
                <c:pt idx="1">
                  <c:v>865.722050344694</c:v>
                </c:pt>
                <c:pt idx="2">
                  <c:v>880.0</c:v>
                </c:pt>
                <c:pt idx="3">
                  <c:v>889.605205339949</c:v>
                </c:pt>
                <c:pt idx="4">
                  <c:v>930.709515991487</c:v>
                </c:pt>
                <c:pt idx="5">
                  <c:v>997.753774436414</c:v>
                </c:pt>
                <c:pt idx="6">
                  <c:v>1019.6711566552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5677312"/>
        <c:axId val="-2085671152"/>
      </c:scatterChart>
      <c:valAx>
        <c:axId val="-208567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5671152"/>
        <c:crosses val="autoZero"/>
        <c:crossBetween val="midCat"/>
      </c:valAx>
      <c:valAx>
        <c:axId val="-208567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567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Proportion of Time Spent</a:t>
            </a:r>
            <a:r>
              <a:rPr lang="en-US" baseline="0"/>
              <a:t> on Flexible Dynamic Privacy Budget Allocation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Sheet1!$L$1:$L$26</c:f>
              <c:strCache>
                <c:ptCount val="26"/>
                <c:pt idx="0">
                  <c:v>tsmc_tky</c:v>
                </c:pt>
                <c:pt idx="6">
                  <c:v>lognormal</c:v>
                </c:pt>
                <c:pt idx="12">
                  <c:v>ubicomp</c:v>
                </c:pt>
                <c:pt idx="19">
                  <c:v>conpolblogs</c:v>
                </c:pt>
                <c:pt idx="25">
                  <c:v>exponential</c:v>
                </c:pt>
              </c:strCache>
            </c:strRef>
          </c:cat>
          <c:val>
            <c:numRef>
              <c:f>Sheet1!$M$1:$M$26</c:f>
              <c:numCache>
                <c:formatCode>General</c:formatCode>
                <c:ptCount val="26"/>
                <c:pt idx="0">
                  <c:v>0.181459991985835</c:v>
                </c:pt>
                <c:pt idx="6">
                  <c:v>0.142772488091222</c:v>
                </c:pt>
                <c:pt idx="12">
                  <c:v>0.221428571428571</c:v>
                </c:pt>
                <c:pt idx="19">
                  <c:v>0.118503705370109</c:v>
                </c:pt>
                <c:pt idx="25">
                  <c:v>0.191789171403126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086657632"/>
        <c:axId val="-2105679104"/>
      </c:barChart>
      <c:catAx>
        <c:axId val="-2086657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Dataset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05679104"/>
        <c:crosses val="autoZero"/>
        <c:auto val="1"/>
        <c:lblAlgn val="ctr"/>
        <c:lblOffset val="100"/>
        <c:noMultiLvlLbl val="0"/>
      </c:catAx>
      <c:valAx>
        <c:axId val="-210567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665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EXPONENTIAL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ϵ=0.01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Sheet2!$E$29:$E$34</c:f>
              <c:numCache>
                <c:formatCode>General</c:formatCode>
                <c:ptCount val="6"/>
                <c:pt idx="0">
                  <c:v>0.0</c:v>
                </c:pt>
                <c:pt idx="1">
                  <c:v>0.025</c:v>
                </c:pt>
                <c:pt idx="2">
                  <c:v>0.05</c:v>
                </c:pt>
                <c:pt idx="3">
                  <c:v>0.075</c:v>
                </c:pt>
                <c:pt idx="4">
                  <c:v>0.1</c:v>
                </c:pt>
                <c:pt idx="5">
                  <c:v>0.15</c:v>
                </c:pt>
              </c:numCache>
            </c:numRef>
          </c:xVal>
          <c:yVal>
            <c:numRef>
              <c:f>Sheet2!$G$29:$G$34</c:f>
              <c:numCache>
                <c:formatCode>General</c:formatCode>
                <c:ptCount val="6"/>
                <c:pt idx="0">
                  <c:v>82314.6303292881</c:v>
                </c:pt>
                <c:pt idx="1">
                  <c:v>81909.1808161201</c:v>
                </c:pt>
                <c:pt idx="2">
                  <c:v>80740.9956389985</c:v>
                </c:pt>
                <c:pt idx="3">
                  <c:v>80363.5110565071</c:v>
                </c:pt>
                <c:pt idx="4">
                  <c:v>81300.7952057942</c:v>
                </c:pt>
                <c:pt idx="5">
                  <c:v>83013.868227038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277056"/>
        <c:axId val="-2085655040"/>
      </c:scatterChart>
      <c:valAx>
        <c:axId val="1807277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𝛿</a:t>
                </a:r>
                <a:r>
                  <a:rPr lang="en-GB" sz="1000" b="0" i="0" u="none" strike="noStrike" baseline="0">
                    <a:effectLst/>
                  </a:rPr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5655040"/>
        <c:crosses val="autoZero"/>
        <c:crossBetween val="midCat"/>
      </c:valAx>
      <c:valAx>
        <c:axId val="-208565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Squared Error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277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EXPONENTIAL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ϵ=0.1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Sheet2!$E$38:$E$43</c:f>
              <c:numCache>
                <c:formatCode>General</c:formatCode>
                <c:ptCount val="6"/>
                <c:pt idx="0">
                  <c:v>0.0</c:v>
                </c:pt>
                <c:pt idx="1">
                  <c:v>0.025</c:v>
                </c:pt>
                <c:pt idx="2">
                  <c:v>0.05</c:v>
                </c:pt>
                <c:pt idx="3">
                  <c:v>0.075</c:v>
                </c:pt>
                <c:pt idx="4">
                  <c:v>0.1</c:v>
                </c:pt>
                <c:pt idx="5">
                  <c:v>0.15</c:v>
                </c:pt>
              </c:numCache>
            </c:numRef>
          </c:xVal>
          <c:yVal>
            <c:numRef>
              <c:f>Sheet2!$G$38:$G$43</c:f>
              <c:numCache>
                <c:formatCode>General</c:formatCode>
                <c:ptCount val="6"/>
                <c:pt idx="0">
                  <c:v>887.693962666325</c:v>
                </c:pt>
                <c:pt idx="1">
                  <c:v>879.9692577970241</c:v>
                </c:pt>
                <c:pt idx="2">
                  <c:v>874.613881030072</c:v>
                </c:pt>
                <c:pt idx="3">
                  <c:v>878.030402772238</c:v>
                </c:pt>
                <c:pt idx="4">
                  <c:v>886.854020681442</c:v>
                </c:pt>
                <c:pt idx="5">
                  <c:v>895.101578147876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3517632"/>
        <c:axId val="-2081758368"/>
      </c:scatterChart>
      <c:valAx>
        <c:axId val="-2113517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𝛿</a:t>
                </a:r>
                <a:r>
                  <a:rPr lang="en-GB" sz="1000" b="0" i="0" u="none" strike="noStrike" baseline="0">
                    <a:effectLst/>
                  </a:rPr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1758368"/>
        <c:crosses val="autoZero"/>
        <c:crossBetween val="midCat"/>
      </c:valAx>
      <c:valAx>
        <c:axId val="-208175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Squared Error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3517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LOGNORMAL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ϵ=0.01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Sheet2!$E$50:$E$55</c:f>
              <c:numCache>
                <c:formatCode>General</c:formatCode>
                <c:ptCount val="6"/>
                <c:pt idx="0">
                  <c:v>0.0</c:v>
                </c:pt>
                <c:pt idx="1">
                  <c:v>0.025</c:v>
                </c:pt>
                <c:pt idx="2">
                  <c:v>0.05</c:v>
                </c:pt>
                <c:pt idx="3">
                  <c:v>0.075</c:v>
                </c:pt>
                <c:pt idx="4">
                  <c:v>0.1</c:v>
                </c:pt>
                <c:pt idx="5">
                  <c:v>0.15</c:v>
                </c:pt>
              </c:numCache>
            </c:numRef>
          </c:xVal>
          <c:yVal>
            <c:numRef>
              <c:f>Sheet2!$G$50:$G$55</c:f>
              <c:numCache>
                <c:formatCode>General</c:formatCode>
                <c:ptCount val="6"/>
                <c:pt idx="0">
                  <c:v>82617.5962758817</c:v>
                </c:pt>
                <c:pt idx="1">
                  <c:v>81199.8890512294</c:v>
                </c:pt>
                <c:pt idx="2">
                  <c:v>81857.6033199137</c:v>
                </c:pt>
                <c:pt idx="3">
                  <c:v>82391.2792629739</c:v>
                </c:pt>
                <c:pt idx="4">
                  <c:v>83436.8285136948</c:v>
                </c:pt>
                <c:pt idx="5">
                  <c:v>84922.7363592046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116896"/>
        <c:axId val="-2081717760"/>
      </c:scatterChart>
      <c:valAx>
        <c:axId val="1813116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𝛿</a:t>
                </a:r>
                <a:r>
                  <a:rPr lang="en-GB" sz="1000" b="0" i="0" u="none" strike="noStrike" baseline="0">
                    <a:effectLst/>
                  </a:rPr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1717760"/>
        <c:crosses val="autoZero"/>
        <c:crossBetween val="midCat"/>
      </c:valAx>
      <c:valAx>
        <c:axId val="-208171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Squared Error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116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LOGNORMAL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ϵ=0.1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Sheet2!$E$59:$E$64</c:f>
              <c:numCache>
                <c:formatCode>General</c:formatCode>
                <c:ptCount val="6"/>
                <c:pt idx="0">
                  <c:v>0.0</c:v>
                </c:pt>
                <c:pt idx="1">
                  <c:v>0.025</c:v>
                </c:pt>
                <c:pt idx="2">
                  <c:v>0.05</c:v>
                </c:pt>
                <c:pt idx="3">
                  <c:v>0.075</c:v>
                </c:pt>
                <c:pt idx="4">
                  <c:v>0.1</c:v>
                </c:pt>
                <c:pt idx="5">
                  <c:v>0.15</c:v>
                </c:pt>
              </c:numCache>
            </c:numRef>
          </c:xVal>
          <c:yVal>
            <c:numRef>
              <c:f>Sheet2!$G$59:$G$64</c:f>
              <c:numCache>
                <c:formatCode>General</c:formatCode>
                <c:ptCount val="6"/>
                <c:pt idx="0">
                  <c:v>846.736294170528</c:v>
                </c:pt>
                <c:pt idx="1">
                  <c:v>801.266242284164</c:v>
                </c:pt>
                <c:pt idx="2">
                  <c:v>773.635290260926</c:v>
                </c:pt>
                <c:pt idx="3">
                  <c:v>796.99892455018</c:v>
                </c:pt>
                <c:pt idx="4">
                  <c:v>813.9578188222609</c:v>
                </c:pt>
                <c:pt idx="5">
                  <c:v>841.409142397318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558768"/>
        <c:axId val="-2105622560"/>
      </c:scatterChart>
      <c:valAx>
        <c:axId val="1759558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𝛿</a:t>
                </a:r>
                <a:r>
                  <a:rPr lang="en-GB" sz="1000" b="0" i="0" u="none" strike="noStrike" baseline="0">
                    <a:effectLst/>
                  </a:rPr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05622560"/>
        <c:crosses val="autoZero"/>
        <c:crossBetween val="midCat"/>
      </c:valAx>
      <c:valAx>
        <c:axId val="-210562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Squared Error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558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TSMC_NYC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ϵ=0.01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Sheet2!$E$71:$E$76</c:f>
              <c:numCache>
                <c:formatCode>General</c:formatCode>
                <c:ptCount val="6"/>
                <c:pt idx="0">
                  <c:v>0.0</c:v>
                </c:pt>
                <c:pt idx="1">
                  <c:v>0.025</c:v>
                </c:pt>
                <c:pt idx="2">
                  <c:v>0.05</c:v>
                </c:pt>
                <c:pt idx="3">
                  <c:v>0.075</c:v>
                </c:pt>
                <c:pt idx="4">
                  <c:v>0.1</c:v>
                </c:pt>
                <c:pt idx="5">
                  <c:v>0.15</c:v>
                </c:pt>
              </c:numCache>
            </c:numRef>
          </c:xVal>
          <c:yVal>
            <c:numRef>
              <c:f>Sheet2!$G$71:$G$76</c:f>
              <c:numCache>
                <c:formatCode>General</c:formatCode>
                <c:ptCount val="6"/>
                <c:pt idx="0">
                  <c:v>85096.1742557234</c:v>
                </c:pt>
                <c:pt idx="1">
                  <c:v>84445.8706382205</c:v>
                </c:pt>
                <c:pt idx="2">
                  <c:v>84327.9474682089</c:v>
                </c:pt>
                <c:pt idx="3">
                  <c:v>84201.5181255606</c:v>
                </c:pt>
                <c:pt idx="4">
                  <c:v>84373.6912054196</c:v>
                </c:pt>
                <c:pt idx="5">
                  <c:v>85400.3025323429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6423632"/>
        <c:axId val="-2105567872"/>
      </c:scatterChart>
      <c:valAx>
        <c:axId val="-214642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𝛿</a:t>
                </a:r>
                <a:r>
                  <a:rPr lang="en-GB" sz="1000" b="0" i="0" u="none" strike="noStrike" baseline="0">
                    <a:effectLst/>
                  </a:rPr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05567872"/>
        <c:crosses val="autoZero"/>
        <c:crossBetween val="midCat"/>
      </c:valAx>
      <c:valAx>
        <c:axId val="-210556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Squared Error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46423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TSMC_NYC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ϵ=0.1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Sheet2!$E$77:$E$82</c:f>
              <c:numCache>
                <c:formatCode>General</c:formatCode>
                <c:ptCount val="6"/>
                <c:pt idx="0">
                  <c:v>0.0</c:v>
                </c:pt>
                <c:pt idx="1">
                  <c:v>0.025</c:v>
                </c:pt>
                <c:pt idx="2">
                  <c:v>0.05</c:v>
                </c:pt>
                <c:pt idx="3">
                  <c:v>0.075</c:v>
                </c:pt>
                <c:pt idx="4">
                  <c:v>0.1</c:v>
                </c:pt>
                <c:pt idx="5">
                  <c:v>0.15</c:v>
                </c:pt>
              </c:numCache>
            </c:numRef>
          </c:xVal>
          <c:yVal>
            <c:numRef>
              <c:f>Sheet2!$G$77:$G$82</c:f>
              <c:numCache>
                <c:formatCode>General</c:formatCode>
                <c:ptCount val="6"/>
                <c:pt idx="0">
                  <c:v>840.8539893399141</c:v>
                </c:pt>
                <c:pt idx="1">
                  <c:v>840.569564550348</c:v>
                </c:pt>
                <c:pt idx="2">
                  <c:v>837.726243769358</c:v>
                </c:pt>
                <c:pt idx="3">
                  <c:v>839.063690452227</c:v>
                </c:pt>
                <c:pt idx="4">
                  <c:v>845.342985886072</c:v>
                </c:pt>
                <c:pt idx="5">
                  <c:v>847.271920766943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4304144"/>
        <c:axId val="-2081394512"/>
      </c:scatterChart>
      <c:valAx>
        <c:axId val="-2144304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𝛿</a:t>
                </a:r>
                <a:r>
                  <a:rPr lang="en-GB" sz="1000" b="0" i="0" u="none" strike="noStrike" baseline="0">
                    <a:effectLst/>
                  </a:rPr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1394512"/>
        <c:crosses val="autoZero"/>
        <c:crossBetween val="midCat"/>
      </c:valAx>
      <c:valAx>
        <c:axId val="-208139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Squared Error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44304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TSMC_TKY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ϵ=0.01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Sheet2!$E$89:$E$94</c:f>
              <c:numCache>
                <c:formatCode>General</c:formatCode>
                <c:ptCount val="6"/>
                <c:pt idx="0">
                  <c:v>0.0</c:v>
                </c:pt>
                <c:pt idx="1">
                  <c:v>0.025</c:v>
                </c:pt>
                <c:pt idx="2">
                  <c:v>0.05</c:v>
                </c:pt>
                <c:pt idx="3">
                  <c:v>0.075</c:v>
                </c:pt>
                <c:pt idx="4">
                  <c:v>0.1</c:v>
                </c:pt>
                <c:pt idx="5">
                  <c:v>0.15</c:v>
                </c:pt>
              </c:numCache>
            </c:numRef>
          </c:xVal>
          <c:yVal>
            <c:numRef>
              <c:f>Sheet2!$G$89:$G$94</c:f>
              <c:numCache>
                <c:formatCode>General</c:formatCode>
                <c:ptCount val="6"/>
                <c:pt idx="0">
                  <c:v>84572.3994348028</c:v>
                </c:pt>
                <c:pt idx="1">
                  <c:v>84457.2396778284</c:v>
                </c:pt>
                <c:pt idx="2">
                  <c:v>84214.1327376358</c:v>
                </c:pt>
                <c:pt idx="3">
                  <c:v>84317.9247193551</c:v>
                </c:pt>
                <c:pt idx="4">
                  <c:v>84438.0572846367</c:v>
                </c:pt>
                <c:pt idx="5">
                  <c:v>85253.9789405554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990720"/>
        <c:axId val="-2081354976"/>
      </c:scatterChart>
      <c:valAx>
        <c:axId val="1811990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𝛿</a:t>
                </a:r>
                <a:r>
                  <a:rPr lang="en-GB" sz="1000" b="0" i="0" u="none" strike="noStrike" baseline="0">
                    <a:effectLst/>
                  </a:rPr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1354976"/>
        <c:crosses val="autoZero"/>
        <c:crossBetween val="midCat"/>
      </c:valAx>
      <c:valAx>
        <c:axId val="-208135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Squared Error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990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TSMC_TKY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ϵ=0.1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Sheet2!$E$95:$E$100</c:f>
              <c:numCache>
                <c:formatCode>General</c:formatCode>
                <c:ptCount val="6"/>
                <c:pt idx="0">
                  <c:v>0.0</c:v>
                </c:pt>
                <c:pt idx="1">
                  <c:v>0.025</c:v>
                </c:pt>
                <c:pt idx="2">
                  <c:v>0.05</c:v>
                </c:pt>
                <c:pt idx="3">
                  <c:v>0.075</c:v>
                </c:pt>
                <c:pt idx="4">
                  <c:v>0.1</c:v>
                </c:pt>
                <c:pt idx="5">
                  <c:v>0.15</c:v>
                </c:pt>
              </c:numCache>
            </c:numRef>
          </c:xVal>
          <c:yVal>
            <c:numRef>
              <c:f>Sheet2!$G$95:$G$100</c:f>
              <c:numCache>
                <c:formatCode>General</c:formatCode>
                <c:ptCount val="6"/>
                <c:pt idx="0">
                  <c:v>841.266401521921</c:v>
                </c:pt>
                <c:pt idx="1">
                  <c:v>839.372456322551</c:v>
                </c:pt>
                <c:pt idx="2">
                  <c:v>837.083583341021</c:v>
                </c:pt>
                <c:pt idx="3">
                  <c:v>840.422783544456</c:v>
                </c:pt>
                <c:pt idx="4">
                  <c:v>843.523017537902</c:v>
                </c:pt>
                <c:pt idx="5">
                  <c:v>849.545513672444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885184"/>
        <c:axId val="-2081315312"/>
      </c:scatterChart>
      <c:valAx>
        <c:axId val="1807885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𝛿</a:t>
                </a:r>
                <a:r>
                  <a:rPr lang="en-GB" sz="1000" b="0" i="0" u="none" strike="noStrike" baseline="0">
                    <a:effectLst/>
                  </a:rPr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1315312"/>
        <c:crosses val="autoZero"/>
        <c:crossBetween val="midCat"/>
      </c:valAx>
      <c:valAx>
        <c:axId val="-208131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Squared Error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885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UBICOMP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ϵ=0.01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Sheet2!$E$107:$E$112</c:f>
              <c:numCache>
                <c:formatCode>General</c:formatCode>
                <c:ptCount val="6"/>
                <c:pt idx="0">
                  <c:v>0.0</c:v>
                </c:pt>
                <c:pt idx="1">
                  <c:v>0.025</c:v>
                </c:pt>
                <c:pt idx="2">
                  <c:v>0.05</c:v>
                </c:pt>
                <c:pt idx="3">
                  <c:v>0.075</c:v>
                </c:pt>
                <c:pt idx="4">
                  <c:v>0.1</c:v>
                </c:pt>
                <c:pt idx="5">
                  <c:v>0.15</c:v>
                </c:pt>
              </c:numCache>
            </c:numRef>
          </c:xVal>
          <c:yVal>
            <c:numRef>
              <c:f>Sheet2!$G$107:$G$112</c:f>
              <c:numCache>
                <c:formatCode>General</c:formatCode>
                <c:ptCount val="6"/>
                <c:pt idx="0">
                  <c:v>85300.43441202361</c:v>
                </c:pt>
                <c:pt idx="1">
                  <c:v>84731.0388970366</c:v>
                </c:pt>
                <c:pt idx="2">
                  <c:v>84162.6888009023</c:v>
                </c:pt>
                <c:pt idx="3">
                  <c:v>83888.578739966</c:v>
                </c:pt>
                <c:pt idx="4">
                  <c:v>84568.2046922552</c:v>
                </c:pt>
                <c:pt idx="5">
                  <c:v>84966.4340082329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596368"/>
        <c:axId val="-2081275856"/>
      </c:scatterChart>
      <c:valAx>
        <c:axId val="1814596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𝛿</a:t>
                </a:r>
                <a:r>
                  <a:rPr lang="en-GB" sz="1000" b="0" i="0" u="none" strike="noStrike" baseline="0">
                    <a:effectLst/>
                  </a:rPr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1275856"/>
        <c:crosses val="autoZero"/>
        <c:crossBetween val="midCat"/>
      </c:valAx>
      <c:valAx>
        <c:axId val="-208127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Squared Error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596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UBICOMP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ϵ=0.1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Sheet2!$E$113:$E$118</c:f>
              <c:numCache>
                <c:formatCode>General</c:formatCode>
                <c:ptCount val="6"/>
                <c:pt idx="0">
                  <c:v>0.0</c:v>
                </c:pt>
                <c:pt idx="1">
                  <c:v>0.025</c:v>
                </c:pt>
                <c:pt idx="2">
                  <c:v>0.05</c:v>
                </c:pt>
                <c:pt idx="3">
                  <c:v>0.075</c:v>
                </c:pt>
                <c:pt idx="4">
                  <c:v>0.1</c:v>
                </c:pt>
                <c:pt idx="5">
                  <c:v>0.15</c:v>
                </c:pt>
              </c:numCache>
            </c:numRef>
          </c:xVal>
          <c:yVal>
            <c:numRef>
              <c:f>Sheet2!$G$113:$G$118</c:f>
              <c:numCache>
                <c:formatCode>General</c:formatCode>
                <c:ptCount val="6"/>
                <c:pt idx="0">
                  <c:v>832.552492195284</c:v>
                </c:pt>
                <c:pt idx="1">
                  <c:v>829.756559947902</c:v>
                </c:pt>
                <c:pt idx="2">
                  <c:v>828.764806729738</c:v>
                </c:pt>
                <c:pt idx="3">
                  <c:v>827.773714710345</c:v>
                </c:pt>
                <c:pt idx="4">
                  <c:v>832.26728769646</c:v>
                </c:pt>
                <c:pt idx="5">
                  <c:v>836.755478089735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329840"/>
        <c:axId val="-2081841888"/>
      </c:scatterChart>
      <c:valAx>
        <c:axId val="1807329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𝛿</a:t>
                </a:r>
                <a:r>
                  <a:rPr lang="en-GB" sz="1000" b="0" i="0" u="none" strike="noStrike" baseline="0">
                    <a:effectLst/>
                  </a:rPr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1841888"/>
        <c:crosses val="autoZero"/>
        <c:crossBetween val="midCat"/>
      </c:valAx>
      <c:valAx>
        <c:axId val="-208184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Squared Error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29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CONPOLBLOGS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ϵ=0.01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Sheet2!$E$2:$E$7</c:f>
              <c:numCache>
                <c:formatCode>General</c:formatCode>
                <c:ptCount val="6"/>
                <c:pt idx="0">
                  <c:v>0.0</c:v>
                </c:pt>
                <c:pt idx="1">
                  <c:v>0.025</c:v>
                </c:pt>
                <c:pt idx="2">
                  <c:v>0.05</c:v>
                </c:pt>
                <c:pt idx="3">
                  <c:v>0.075</c:v>
                </c:pt>
                <c:pt idx="4">
                  <c:v>0.1</c:v>
                </c:pt>
                <c:pt idx="5">
                  <c:v>0.15</c:v>
                </c:pt>
              </c:numCache>
            </c:numRef>
          </c:xVal>
          <c:yVal>
            <c:numRef>
              <c:f>Sheet2!$G$2:$G$7</c:f>
              <c:numCache>
                <c:formatCode>General</c:formatCode>
                <c:ptCount val="6"/>
                <c:pt idx="0">
                  <c:v>89005.296431708</c:v>
                </c:pt>
                <c:pt idx="1">
                  <c:v>88319.0795352353</c:v>
                </c:pt>
                <c:pt idx="2">
                  <c:v>86886.8837115382</c:v>
                </c:pt>
                <c:pt idx="3">
                  <c:v>87767.7712574409</c:v>
                </c:pt>
                <c:pt idx="4">
                  <c:v>88848.3041695536</c:v>
                </c:pt>
                <c:pt idx="5">
                  <c:v>89304.6205808103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0191456"/>
        <c:axId val="-2081650336"/>
      </c:scatterChart>
      <c:valAx>
        <c:axId val="-2110191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𝛿</a:t>
                </a:r>
                <a:r>
                  <a:rPr lang="en-GB" sz="1000" b="0" i="0" u="none" strike="noStrike" baseline="0">
                    <a:effectLst/>
                  </a:rPr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1650336"/>
        <c:crosses val="autoZero"/>
        <c:crossBetween val="midCat"/>
      </c:valAx>
      <c:valAx>
        <c:axId val="-208165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Squared Error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0191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CONPOLBLOGS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ϵ=0.1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Sheet2!$E$11:$E$16</c:f>
              <c:numCache>
                <c:formatCode>General</c:formatCode>
                <c:ptCount val="6"/>
                <c:pt idx="0">
                  <c:v>0.0</c:v>
                </c:pt>
                <c:pt idx="1">
                  <c:v>0.025</c:v>
                </c:pt>
                <c:pt idx="2">
                  <c:v>0.05</c:v>
                </c:pt>
                <c:pt idx="3">
                  <c:v>0.075</c:v>
                </c:pt>
                <c:pt idx="4">
                  <c:v>0.1</c:v>
                </c:pt>
                <c:pt idx="5">
                  <c:v>0.15</c:v>
                </c:pt>
              </c:numCache>
            </c:numRef>
          </c:xVal>
          <c:yVal>
            <c:numRef>
              <c:f>Sheet2!$G$11:$G$16</c:f>
              <c:numCache>
                <c:formatCode>General</c:formatCode>
                <c:ptCount val="6"/>
                <c:pt idx="0">
                  <c:v>942.841525595083</c:v>
                </c:pt>
                <c:pt idx="1">
                  <c:v>936.254527883535</c:v>
                </c:pt>
                <c:pt idx="2">
                  <c:v>915.68846365649</c:v>
                </c:pt>
                <c:pt idx="3">
                  <c:v>930.764519302825</c:v>
                </c:pt>
                <c:pt idx="4">
                  <c:v>945.636965638555</c:v>
                </c:pt>
                <c:pt idx="5">
                  <c:v>945.478990313478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22894976"/>
        <c:axId val="-2081609888"/>
      </c:scatterChart>
      <c:valAx>
        <c:axId val="-202289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𝛿</a:t>
                </a:r>
                <a:r>
                  <a:rPr lang="en-GB" sz="1000" b="0" i="0" u="none" strike="noStrike" baseline="0">
                    <a:effectLst/>
                  </a:rPr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1609888"/>
        <c:crosses val="autoZero"/>
        <c:crossBetween val="midCat"/>
      </c:valAx>
      <c:valAx>
        <c:axId val="-208160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Squared Error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22894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CONPOLBLOGS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ϵ=1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Sheet2!$E$20:$E$25</c:f>
              <c:numCache>
                <c:formatCode>General</c:formatCode>
                <c:ptCount val="6"/>
                <c:pt idx="0">
                  <c:v>0.0</c:v>
                </c:pt>
                <c:pt idx="1">
                  <c:v>0.025</c:v>
                </c:pt>
                <c:pt idx="2">
                  <c:v>0.05</c:v>
                </c:pt>
                <c:pt idx="3">
                  <c:v>0.075</c:v>
                </c:pt>
                <c:pt idx="4">
                  <c:v>0.1</c:v>
                </c:pt>
                <c:pt idx="5">
                  <c:v>0.15</c:v>
                </c:pt>
              </c:numCache>
            </c:numRef>
          </c:xVal>
          <c:yVal>
            <c:numRef>
              <c:f>Sheet2!$G$20:$G$25</c:f>
              <c:numCache>
                <c:formatCode>General</c:formatCode>
                <c:ptCount val="6"/>
                <c:pt idx="0">
                  <c:v>13.429837816759</c:v>
                </c:pt>
                <c:pt idx="1">
                  <c:v>13.292830558485</c:v>
                </c:pt>
                <c:pt idx="2">
                  <c:v>13.3791010357934</c:v>
                </c:pt>
                <c:pt idx="3">
                  <c:v>13.4900043318729</c:v>
                </c:pt>
                <c:pt idx="4">
                  <c:v>13.5219518943414</c:v>
                </c:pt>
                <c:pt idx="5">
                  <c:v>13.5529330990166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38958864"/>
        <c:axId val="-2046765392"/>
      </c:scatterChart>
      <c:valAx>
        <c:axId val="-2038958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𝛿</a:t>
                </a:r>
                <a:r>
                  <a:rPr lang="en-GB" sz="1000" b="0" i="0" u="none" strike="noStrike" baseline="0">
                    <a:effectLst/>
                  </a:rPr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6765392"/>
        <c:crosses val="autoZero"/>
        <c:crossBetween val="midCat"/>
      </c:valAx>
      <c:valAx>
        <c:axId val="-204676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Squared Error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38958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EXPONENTIAL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ϵ=1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Sheet2!$E$44:$E$49</c:f>
              <c:numCache>
                <c:formatCode>General</c:formatCode>
                <c:ptCount val="6"/>
                <c:pt idx="0">
                  <c:v>0.0</c:v>
                </c:pt>
                <c:pt idx="1">
                  <c:v>0.025</c:v>
                </c:pt>
                <c:pt idx="2">
                  <c:v>0.05</c:v>
                </c:pt>
                <c:pt idx="3">
                  <c:v>0.075</c:v>
                </c:pt>
                <c:pt idx="4">
                  <c:v>0.1</c:v>
                </c:pt>
                <c:pt idx="5">
                  <c:v>0.15</c:v>
                </c:pt>
              </c:numCache>
            </c:numRef>
          </c:xVal>
          <c:yVal>
            <c:numRef>
              <c:f>Sheet2!$G$44:$G$49</c:f>
              <c:numCache>
                <c:formatCode>General</c:formatCode>
                <c:ptCount val="6"/>
                <c:pt idx="0">
                  <c:v>11.8316196806422</c:v>
                </c:pt>
                <c:pt idx="1">
                  <c:v>11.6259169695554</c:v>
                </c:pt>
                <c:pt idx="2">
                  <c:v>11.6307160138581</c:v>
                </c:pt>
                <c:pt idx="3">
                  <c:v>11.8151435555803</c:v>
                </c:pt>
                <c:pt idx="4">
                  <c:v>12.0715529280134</c:v>
                </c:pt>
                <c:pt idx="5">
                  <c:v>12.2763059526606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38552192"/>
        <c:axId val="-2046725760"/>
      </c:scatterChart>
      <c:valAx>
        <c:axId val="-2038552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𝛿</a:t>
                </a:r>
                <a:r>
                  <a:rPr lang="en-GB" sz="1000" b="0" i="0" u="none" strike="noStrike" baseline="0">
                    <a:effectLst/>
                  </a:rPr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6725760"/>
        <c:crosses val="autoZero"/>
        <c:crossBetween val="midCat"/>
      </c:valAx>
      <c:valAx>
        <c:axId val="-204672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Squared Error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38552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LOGNORMAL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ϵ=1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Sheet2!$E$65:$E$70</c:f>
              <c:numCache>
                <c:formatCode>General</c:formatCode>
                <c:ptCount val="6"/>
                <c:pt idx="0">
                  <c:v>0.0</c:v>
                </c:pt>
                <c:pt idx="1">
                  <c:v>0.025</c:v>
                </c:pt>
                <c:pt idx="2">
                  <c:v>0.05</c:v>
                </c:pt>
                <c:pt idx="3">
                  <c:v>0.075</c:v>
                </c:pt>
                <c:pt idx="4">
                  <c:v>0.1</c:v>
                </c:pt>
                <c:pt idx="5">
                  <c:v>0.15</c:v>
                </c:pt>
              </c:numCache>
            </c:numRef>
          </c:xVal>
          <c:yVal>
            <c:numRef>
              <c:f>Sheet2!$G$65:$G$70</c:f>
              <c:numCache>
                <c:formatCode>General</c:formatCode>
                <c:ptCount val="6"/>
                <c:pt idx="0">
                  <c:v>8.74865764935395</c:v>
                </c:pt>
                <c:pt idx="1">
                  <c:v>8.36281563020977</c:v>
                </c:pt>
                <c:pt idx="2">
                  <c:v>8.30860174333027</c:v>
                </c:pt>
                <c:pt idx="3">
                  <c:v>8.56408403782325</c:v>
                </c:pt>
                <c:pt idx="4">
                  <c:v>8.58424202783028</c:v>
                </c:pt>
                <c:pt idx="5">
                  <c:v>8.77701557157223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0521888"/>
        <c:axId val="-2081673984"/>
      </c:scatterChart>
      <c:valAx>
        <c:axId val="-2110521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𝛿</a:t>
                </a:r>
                <a:r>
                  <a:rPr lang="en-GB" sz="1000" b="0" i="0" u="none" strike="noStrike" baseline="0">
                    <a:effectLst/>
                  </a:rPr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1673984"/>
        <c:crosses val="autoZero"/>
        <c:crossBetween val="midCat"/>
      </c:valAx>
      <c:valAx>
        <c:axId val="-208167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Squared Error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0521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TSMC_NYC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ϵ=1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Sheet2!$E$83:$E$88</c:f>
              <c:numCache>
                <c:formatCode>General</c:formatCode>
                <c:ptCount val="6"/>
                <c:pt idx="0">
                  <c:v>0.0</c:v>
                </c:pt>
                <c:pt idx="1">
                  <c:v>0.025</c:v>
                </c:pt>
                <c:pt idx="2">
                  <c:v>0.05</c:v>
                </c:pt>
                <c:pt idx="3">
                  <c:v>0.075</c:v>
                </c:pt>
                <c:pt idx="4">
                  <c:v>0.1</c:v>
                </c:pt>
                <c:pt idx="5">
                  <c:v>0.15</c:v>
                </c:pt>
              </c:numCache>
            </c:numRef>
          </c:xVal>
          <c:yVal>
            <c:numRef>
              <c:f>Sheet2!$G$83:$G$88</c:f>
              <c:numCache>
                <c:formatCode>General</c:formatCode>
                <c:ptCount val="6"/>
                <c:pt idx="0">
                  <c:v>9.057323656116679</c:v>
                </c:pt>
                <c:pt idx="1">
                  <c:v>8.984499582198</c:v>
                </c:pt>
                <c:pt idx="2">
                  <c:v>8.96535924994614</c:v>
                </c:pt>
                <c:pt idx="3">
                  <c:v>9.022193428145579</c:v>
                </c:pt>
                <c:pt idx="4">
                  <c:v>9.06059358596223</c:v>
                </c:pt>
                <c:pt idx="5">
                  <c:v>9.10572991058448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5431744"/>
        <c:axId val="-2081550384"/>
      </c:scatterChart>
      <c:valAx>
        <c:axId val="-2145431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𝛿</a:t>
                </a:r>
                <a:r>
                  <a:rPr lang="en-GB" sz="1000" b="0" i="0" u="none" strike="noStrike" baseline="0">
                    <a:effectLst/>
                  </a:rPr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1550384"/>
        <c:crosses val="autoZero"/>
        <c:crossBetween val="midCat"/>
      </c:valAx>
      <c:valAx>
        <c:axId val="-208155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Squared Error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45431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TSMC_TKY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ϵ=1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Sheet2!$E$101:$E$106</c:f>
              <c:numCache>
                <c:formatCode>General</c:formatCode>
                <c:ptCount val="6"/>
                <c:pt idx="0">
                  <c:v>0.0</c:v>
                </c:pt>
                <c:pt idx="1">
                  <c:v>0.025</c:v>
                </c:pt>
                <c:pt idx="2">
                  <c:v>0.05</c:v>
                </c:pt>
                <c:pt idx="3">
                  <c:v>0.075</c:v>
                </c:pt>
                <c:pt idx="4">
                  <c:v>0.1</c:v>
                </c:pt>
                <c:pt idx="5">
                  <c:v>0.15</c:v>
                </c:pt>
              </c:numCache>
            </c:numRef>
          </c:xVal>
          <c:yVal>
            <c:numRef>
              <c:f>Sheet2!$G$101:$G$106</c:f>
              <c:numCache>
                <c:formatCode>General</c:formatCode>
                <c:ptCount val="6"/>
                <c:pt idx="0">
                  <c:v>9.048059285800759</c:v>
                </c:pt>
                <c:pt idx="1">
                  <c:v>9.03355507401237</c:v>
                </c:pt>
                <c:pt idx="2">
                  <c:v>9.01251907806206</c:v>
                </c:pt>
                <c:pt idx="3">
                  <c:v>9.08664172346653</c:v>
                </c:pt>
                <c:pt idx="4">
                  <c:v>9.10538389524695</c:v>
                </c:pt>
                <c:pt idx="5">
                  <c:v>9.181835161602001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389056"/>
        <c:axId val="-2081510848"/>
      </c:scatterChart>
      <c:valAx>
        <c:axId val="1812389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𝛿</a:t>
                </a:r>
                <a:r>
                  <a:rPr lang="en-GB" sz="1000" b="0" i="0" u="none" strike="noStrike" baseline="0">
                    <a:effectLst/>
                  </a:rPr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1510848"/>
        <c:crosses val="autoZero"/>
        <c:crossBetween val="midCat"/>
      </c:valAx>
      <c:valAx>
        <c:axId val="-208151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Squared Error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389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UBICOMP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ϵ=1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Sheet2!$E$119:$E$124</c:f>
              <c:numCache>
                <c:formatCode>General</c:formatCode>
                <c:ptCount val="6"/>
                <c:pt idx="0">
                  <c:v>0.0</c:v>
                </c:pt>
                <c:pt idx="1">
                  <c:v>0.025</c:v>
                </c:pt>
                <c:pt idx="2">
                  <c:v>0.05</c:v>
                </c:pt>
                <c:pt idx="3">
                  <c:v>0.075</c:v>
                </c:pt>
                <c:pt idx="4">
                  <c:v>0.1</c:v>
                </c:pt>
                <c:pt idx="5">
                  <c:v>0.15</c:v>
                </c:pt>
              </c:numCache>
            </c:numRef>
          </c:xVal>
          <c:yVal>
            <c:numRef>
              <c:f>Sheet2!$G$119:$G$124</c:f>
              <c:numCache>
                <c:formatCode>General</c:formatCode>
                <c:ptCount val="6"/>
                <c:pt idx="0">
                  <c:v>9.00359875495341</c:v>
                </c:pt>
                <c:pt idx="1">
                  <c:v>8.843921567376149</c:v>
                </c:pt>
                <c:pt idx="2">
                  <c:v>8.76114124417513</c:v>
                </c:pt>
                <c:pt idx="3">
                  <c:v>8.66623388875449</c:v>
                </c:pt>
                <c:pt idx="4">
                  <c:v>8.75176397008746</c:v>
                </c:pt>
                <c:pt idx="5">
                  <c:v>8.831982797239521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917520"/>
        <c:axId val="-2046663744"/>
      </c:scatterChart>
      <c:valAx>
        <c:axId val="181491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𝛿</a:t>
                </a:r>
                <a:r>
                  <a:rPr lang="en-GB" sz="1000" b="0" i="0" u="none" strike="noStrike" baseline="0">
                    <a:effectLst/>
                  </a:rPr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6663744"/>
        <c:crosses val="autoZero"/>
        <c:crossBetween val="midCat"/>
      </c:valAx>
      <c:valAx>
        <c:axId val="-204666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Squared Error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91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H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Proportion of CPU Time Spent on DPA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Sheet2!$N$61:$N$66</c:f>
              <c:strCache>
                <c:ptCount val="6"/>
                <c:pt idx="0">
                  <c:v>conpolblogs</c:v>
                </c:pt>
                <c:pt idx="1">
                  <c:v>exponential</c:v>
                </c:pt>
                <c:pt idx="2">
                  <c:v>lognormal</c:v>
                </c:pt>
                <c:pt idx="3">
                  <c:v>tsmc_nyc</c:v>
                </c:pt>
                <c:pt idx="4">
                  <c:v>tsmc_tky</c:v>
                </c:pt>
                <c:pt idx="5">
                  <c:v>ubicomp</c:v>
                </c:pt>
              </c:strCache>
            </c:strRef>
          </c:cat>
          <c:val>
            <c:numRef>
              <c:f>Sheet2!$O$61:$O$66</c:f>
              <c:numCache>
                <c:formatCode>General</c:formatCode>
                <c:ptCount val="6"/>
                <c:pt idx="0">
                  <c:v>0.114217193200509</c:v>
                </c:pt>
                <c:pt idx="1">
                  <c:v>0.163733897412853</c:v>
                </c:pt>
                <c:pt idx="2">
                  <c:v>0.164532423449228</c:v>
                </c:pt>
                <c:pt idx="3">
                  <c:v>0.167557712222123</c:v>
                </c:pt>
                <c:pt idx="4">
                  <c:v>0.1648255563588</c:v>
                </c:pt>
                <c:pt idx="5">
                  <c:v>0.106321530107363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6935680"/>
        <c:axId val="1806937136"/>
      </c:barChart>
      <c:catAx>
        <c:axId val="1806935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Testing Datasets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937136"/>
        <c:crosses val="autoZero"/>
        <c:auto val="1"/>
        <c:lblAlgn val="ctr"/>
        <c:lblOffset val="100"/>
        <c:noMultiLvlLbl val="0"/>
      </c:catAx>
      <c:valAx>
        <c:axId val="180693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9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1" Type="http://schemas.openxmlformats.org/officeDocument/2006/relationships/chart" Target="../charts/chart17.xml"/><Relationship Id="rId12" Type="http://schemas.openxmlformats.org/officeDocument/2006/relationships/chart" Target="../charts/chart18.xml"/><Relationship Id="rId13" Type="http://schemas.openxmlformats.org/officeDocument/2006/relationships/chart" Target="../charts/chart19.xml"/><Relationship Id="rId14" Type="http://schemas.openxmlformats.org/officeDocument/2006/relationships/chart" Target="../charts/chart20.xml"/><Relationship Id="rId15" Type="http://schemas.openxmlformats.org/officeDocument/2006/relationships/chart" Target="../charts/chart21.xml"/><Relationship Id="rId16" Type="http://schemas.openxmlformats.org/officeDocument/2006/relationships/chart" Target="../charts/chart22.xml"/><Relationship Id="rId17" Type="http://schemas.openxmlformats.org/officeDocument/2006/relationships/chart" Target="../charts/chart23.xml"/><Relationship Id="rId18" Type="http://schemas.openxmlformats.org/officeDocument/2006/relationships/chart" Target="../charts/chart24.xml"/><Relationship Id="rId19" Type="http://schemas.openxmlformats.org/officeDocument/2006/relationships/chart" Target="../charts/chart25.xml"/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Relationship Id="rId7" Type="http://schemas.openxmlformats.org/officeDocument/2006/relationships/chart" Target="../charts/chart13.xml"/><Relationship Id="rId8" Type="http://schemas.openxmlformats.org/officeDocument/2006/relationships/chart" Target="../charts/chart14.xml"/><Relationship Id="rId9" Type="http://schemas.openxmlformats.org/officeDocument/2006/relationships/chart" Target="../charts/chart15.xml"/><Relationship Id="rId10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381000</xdr:colOff>
      <xdr:row>3</xdr:row>
      <xdr:rowOff>120650</xdr:rowOff>
    </xdr:from>
    <xdr:to>
      <xdr:col>19</xdr:col>
      <xdr:colOff>0</xdr:colOff>
      <xdr:row>16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6350</xdr:colOff>
      <xdr:row>25</xdr:row>
      <xdr:rowOff>146050</xdr:rowOff>
    </xdr:from>
    <xdr:to>
      <xdr:col>16</xdr:col>
      <xdr:colOff>450850</xdr:colOff>
      <xdr:row>39</xdr:row>
      <xdr:rowOff>44450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234950</xdr:colOff>
      <xdr:row>3</xdr:row>
      <xdr:rowOff>184150</xdr:rowOff>
    </xdr:from>
    <xdr:to>
      <xdr:col>22</xdr:col>
      <xdr:colOff>679450</xdr:colOff>
      <xdr:row>17</xdr:row>
      <xdr:rowOff>82550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6350</xdr:colOff>
      <xdr:row>39</xdr:row>
      <xdr:rowOff>120650</xdr:rowOff>
    </xdr:from>
    <xdr:to>
      <xdr:col>16</xdr:col>
      <xdr:colOff>450850</xdr:colOff>
      <xdr:row>53</xdr:row>
      <xdr:rowOff>19050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57150</xdr:colOff>
      <xdr:row>35</xdr:row>
      <xdr:rowOff>133350</xdr:rowOff>
    </xdr:from>
    <xdr:to>
      <xdr:col>10</xdr:col>
      <xdr:colOff>501650</xdr:colOff>
      <xdr:row>49</xdr:row>
      <xdr:rowOff>31750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44450</xdr:colOff>
      <xdr:row>21</xdr:row>
      <xdr:rowOff>127000</xdr:rowOff>
    </xdr:from>
    <xdr:to>
      <xdr:col>24</xdr:col>
      <xdr:colOff>44450</xdr:colOff>
      <xdr:row>38</xdr:row>
      <xdr:rowOff>139700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0</xdr:rowOff>
    </xdr:from>
    <xdr:to>
      <xdr:col>22</xdr:col>
      <xdr:colOff>444500</xdr:colOff>
      <xdr:row>14</xdr:row>
      <xdr:rowOff>99482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16</xdr:row>
      <xdr:rowOff>0</xdr:rowOff>
    </xdr:from>
    <xdr:to>
      <xdr:col>22</xdr:col>
      <xdr:colOff>444500</xdr:colOff>
      <xdr:row>29</xdr:row>
      <xdr:rowOff>99482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28</xdr:col>
      <xdr:colOff>444500</xdr:colOff>
      <xdr:row>14</xdr:row>
      <xdr:rowOff>99482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16</xdr:row>
      <xdr:rowOff>0</xdr:rowOff>
    </xdr:from>
    <xdr:to>
      <xdr:col>28</xdr:col>
      <xdr:colOff>444500</xdr:colOff>
      <xdr:row>29</xdr:row>
      <xdr:rowOff>99482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0</xdr:colOff>
      <xdr:row>1</xdr:row>
      <xdr:rowOff>0</xdr:rowOff>
    </xdr:from>
    <xdr:to>
      <xdr:col>34</xdr:col>
      <xdr:colOff>444500</xdr:colOff>
      <xdr:row>14</xdr:row>
      <xdr:rowOff>99482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0</xdr:colOff>
      <xdr:row>16</xdr:row>
      <xdr:rowOff>0</xdr:rowOff>
    </xdr:from>
    <xdr:to>
      <xdr:col>34</xdr:col>
      <xdr:colOff>444500</xdr:colOff>
      <xdr:row>29</xdr:row>
      <xdr:rowOff>99482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35</xdr:col>
      <xdr:colOff>0</xdr:colOff>
      <xdr:row>1</xdr:row>
      <xdr:rowOff>0</xdr:rowOff>
    </xdr:from>
    <xdr:to>
      <xdr:col>40</xdr:col>
      <xdr:colOff>444500</xdr:colOff>
      <xdr:row>14</xdr:row>
      <xdr:rowOff>99482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35</xdr:col>
      <xdr:colOff>0</xdr:colOff>
      <xdr:row>16</xdr:row>
      <xdr:rowOff>0</xdr:rowOff>
    </xdr:from>
    <xdr:to>
      <xdr:col>40</xdr:col>
      <xdr:colOff>444500</xdr:colOff>
      <xdr:row>29</xdr:row>
      <xdr:rowOff>99482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0</xdr:colOff>
      <xdr:row>1</xdr:row>
      <xdr:rowOff>0</xdr:rowOff>
    </xdr:from>
    <xdr:to>
      <xdr:col>46</xdr:col>
      <xdr:colOff>444500</xdr:colOff>
      <xdr:row>14</xdr:row>
      <xdr:rowOff>99482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41</xdr:col>
      <xdr:colOff>0</xdr:colOff>
      <xdr:row>16</xdr:row>
      <xdr:rowOff>0</xdr:rowOff>
    </xdr:from>
    <xdr:to>
      <xdr:col>46</xdr:col>
      <xdr:colOff>444500</xdr:colOff>
      <xdr:row>29</xdr:row>
      <xdr:rowOff>99482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823383</xdr:colOff>
      <xdr:row>0</xdr:row>
      <xdr:rowOff>196850</xdr:rowOff>
    </xdr:from>
    <xdr:to>
      <xdr:col>16</xdr:col>
      <xdr:colOff>444500</xdr:colOff>
      <xdr:row>44</xdr:row>
      <xdr:rowOff>99484</xdr:rowOff>
    </xdr:to>
    <xdr:grpSp>
      <xdr:nvGrpSpPr>
        <xdr:cNvPr id="26" name="Group 25"/>
        <xdr:cNvGrpSpPr/>
      </xdr:nvGrpSpPr>
      <xdr:grpSpPr>
        <a:xfrm>
          <a:off x="9148939" y="196850"/>
          <a:ext cx="4616450" cy="8595078"/>
          <a:chOff x="9148939" y="196850"/>
          <a:chExt cx="4616450" cy="8595078"/>
        </a:xfrm>
      </xdr:grpSpPr>
      <xdr:graphicFrame macro="">
        <xdr:nvGraphicFramePr>
          <xdr:cNvPr id="2" name="Chart 1"/>
          <xdr:cNvGraphicFramePr/>
        </xdr:nvGraphicFramePr>
        <xdr:xfrm>
          <a:off x="9148939" y="196850"/>
          <a:ext cx="4614333" cy="266417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3" name="Chart 2"/>
          <xdr:cNvGraphicFramePr>
            <a:graphicFrameLocks/>
          </xdr:cNvGraphicFramePr>
        </xdr:nvGraphicFramePr>
        <xdr:xfrm>
          <a:off x="9158111" y="3160889"/>
          <a:ext cx="4607278" cy="266770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graphicFrame macro="">
        <xdr:nvGraphicFramePr>
          <xdr:cNvPr id="20" name="Chart 19"/>
          <xdr:cNvGraphicFramePr>
            <a:graphicFrameLocks/>
          </xdr:cNvGraphicFramePr>
        </xdr:nvGraphicFramePr>
        <xdr:xfrm>
          <a:off x="9158111" y="6124222"/>
          <a:ext cx="4607278" cy="26677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</xdr:grpSp>
    <xdr:clientData/>
  </xdr:twoCellAnchor>
  <xdr:twoCellAnchor>
    <xdr:from>
      <xdr:col>17</xdr:col>
      <xdr:colOff>0</xdr:colOff>
      <xdr:row>31</xdr:row>
      <xdr:rowOff>0</xdr:rowOff>
    </xdr:from>
    <xdr:to>
      <xdr:col>22</xdr:col>
      <xdr:colOff>444500</xdr:colOff>
      <xdr:row>44</xdr:row>
      <xdr:rowOff>99484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0</xdr:colOff>
      <xdr:row>31</xdr:row>
      <xdr:rowOff>0</xdr:rowOff>
    </xdr:from>
    <xdr:to>
      <xdr:col>28</xdr:col>
      <xdr:colOff>444500</xdr:colOff>
      <xdr:row>44</xdr:row>
      <xdr:rowOff>99482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29</xdr:col>
      <xdr:colOff>0</xdr:colOff>
      <xdr:row>31</xdr:row>
      <xdr:rowOff>0</xdr:rowOff>
    </xdr:from>
    <xdr:to>
      <xdr:col>34</xdr:col>
      <xdr:colOff>444500</xdr:colOff>
      <xdr:row>44</xdr:row>
      <xdr:rowOff>99482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35</xdr:col>
      <xdr:colOff>0</xdr:colOff>
      <xdr:row>31</xdr:row>
      <xdr:rowOff>0</xdr:rowOff>
    </xdr:from>
    <xdr:to>
      <xdr:col>40</xdr:col>
      <xdr:colOff>444500</xdr:colOff>
      <xdr:row>44</xdr:row>
      <xdr:rowOff>99482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41</xdr:col>
      <xdr:colOff>0</xdr:colOff>
      <xdr:row>31</xdr:row>
      <xdr:rowOff>0</xdr:rowOff>
    </xdr:from>
    <xdr:to>
      <xdr:col>46</xdr:col>
      <xdr:colOff>444500</xdr:colOff>
      <xdr:row>44</xdr:row>
      <xdr:rowOff>99482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15</xdr:col>
      <xdr:colOff>324555</xdr:colOff>
      <xdr:row>52</xdr:row>
      <xdr:rowOff>124178</xdr:rowOff>
    </xdr:from>
    <xdr:to>
      <xdr:col>20</xdr:col>
      <xdr:colOff>733777</xdr:colOff>
      <xdr:row>66</xdr:row>
      <xdr:rowOff>101600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U37" sqref="U37"/>
    </sheetView>
  </sheetViews>
  <sheetFormatPr baseColWidth="10" defaultRowHeight="16" x14ac:dyDescent="0.2"/>
  <sheetData>
    <row r="1" spans="1:13" x14ac:dyDescent="0.2">
      <c r="A1">
        <v>0</v>
      </c>
      <c r="B1" s="1">
        <v>42951</v>
      </c>
      <c r="C1" s="2">
        <v>0.88885925925925935</v>
      </c>
      <c r="D1" t="s">
        <v>0</v>
      </c>
      <c r="E1">
        <v>0</v>
      </c>
      <c r="F1">
        <v>20</v>
      </c>
      <c r="G1">
        <v>838.11896353362204</v>
      </c>
      <c r="H1">
        <v>4571563.3013769398</v>
      </c>
      <c r="I1">
        <v>25302438.202776302</v>
      </c>
      <c r="J1">
        <v>0.18067678951490601</v>
      </c>
      <c r="L1" t="s">
        <v>0</v>
      </c>
      <c r="M1">
        <f>AVERAGE(J1:J6)</f>
        <v>0.18145999198583485</v>
      </c>
    </row>
    <row r="2" spans="1:13" x14ac:dyDescent="0.2">
      <c r="A2">
        <v>0</v>
      </c>
      <c r="B2" s="1">
        <v>42952</v>
      </c>
      <c r="C2" s="2">
        <v>8.5039918981481485E-2</v>
      </c>
      <c r="D2" t="s">
        <v>0</v>
      </c>
      <c r="E2">
        <v>0.1</v>
      </c>
      <c r="F2">
        <v>20</v>
      </c>
      <c r="G2">
        <v>835.20252405791803</v>
      </c>
      <c r="H2">
        <v>3339223.69657005</v>
      </c>
      <c r="I2">
        <v>18418879.534801502</v>
      </c>
      <c r="J2">
        <v>0.18129353038336299</v>
      </c>
    </row>
    <row r="3" spans="1:13" x14ac:dyDescent="0.2">
      <c r="A3">
        <v>0</v>
      </c>
      <c r="B3" s="1">
        <v>42952</v>
      </c>
      <c r="C3" s="2">
        <v>0.26875674768518515</v>
      </c>
      <c r="D3" t="s">
        <v>0</v>
      </c>
      <c r="E3">
        <v>0.2</v>
      </c>
      <c r="F3">
        <v>20</v>
      </c>
      <c r="G3">
        <v>856.71734493037002</v>
      </c>
      <c r="H3">
        <v>3302704.1550241201</v>
      </c>
      <c r="I3">
        <v>18158395.7660373</v>
      </c>
      <c r="J3">
        <v>0.181883036231722</v>
      </c>
    </row>
    <row r="4" spans="1:13" x14ac:dyDescent="0.2">
      <c r="A4">
        <v>0</v>
      </c>
      <c r="B4" s="1">
        <v>42952</v>
      </c>
      <c r="C4" s="2">
        <v>0.45170695601851851</v>
      </c>
      <c r="D4" t="s">
        <v>0</v>
      </c>
      <c r="E4">
        <v>0.3</v>
      </c>
      <c r="F4">
        <v>20</v>
      </c>
      <c r="G4">
        <v>876.47221063832399</v>
      </c>
      <c r="H4">
        <v>3275656.6652251701</v>
      </c>
      <c r="I4">
        <v>18000822.551278599</v>
      </c>
      <c r="J4">
        <v>0.18197261019010899</v>
      </c>
    </row>
    <row r="5" spans="1:13" x14ac:dyDescent="0.2">
      <c r="A5">
        <v>0</v>
      </c>
      <c r="B5" s="1">
        <v>42952</v>
      </c>
      <c r="C5" s="2">
        <v>0.63665688657407404</v>
      </c>
      <c r="D5" t="s">
        <v>0</v>
      </c>
      <c r="E5">
        <v>0.4</v>
      </c>
      <c r="F5">
        <v>20</v>
      </c>
      <c r="G5">
        <v>911.471424286059</v>
      </c>
      <c r="H5">
        <v>3291795.5392207699</v>
      </c>
      <c r="I5">
        <v>18137968.8008481</v>
      </c>
      <c r="J5">
        <v>0.18148644842011399</v>
      </c>
    </row>
    <row r="6" spans="1:13" x14ac:dyDescent="0.2">
      <c r="A6">
        <v>0</v>
      </c>
      <c r="B6" s="1">
        <v>42952</v>
      </c>
      <c r="C6" s="2">
        <v>0.82056239583333335</v>
      </c>
      <c r="D6" t="s">
        <v>0</v>
      </c>
      <c r="E6">
        <v>0.5</v>
      </c>
      <c r="F6">
        <v>20</v>
      </c>
      <c r="G6">
        <v>964.20650074241405</v>
      </c>
      <c r="H6">
        <v>3284181.7323691999</v>
      </c>
      <c r="I6">
        <v>18099896.992293801</v>
      </c>
      <c r="J6">
        <v>0.181447537174795</v>
      </c>
    </row>
    <row r="7" spans="1:13" x14ac:dyDescent="0.2">
      <c r="A7">
        <v>0</v>
      </c>
      <c r="B7" s="1">
        <v>42953</v>
      </c>
      <c r="C7" s="2">
        <v>0.46756145833333335</v>
      </c>
      <c r="D7" t="s">
        <v>1</v>
      </c>
      <c r="E7">
        <v>0</v>
      </c>
      <c r="F7">
        <v>20</v>
      </c>
      <c r="G7">
        <v>860.77518034218394</v>
      </c>
      <c r="H7">
        <v>882874.53954125894</v>
      </c>
      <c r="I7">
        <v>6169181.85545645</v>
      </c>
      <c r="J7">
        <v>0.14311047400238</v>
      </c>
      <c r="L7" t="s">
        <v>1</v>
      </c>
      <c r="M7">
        <f>AVERAGE(J7:J12)</f>
        <v>0.14277248809122167</v>
      </c>
    </row>
    <row r="8" spans="1:13" x14ac:dyDescent="0.2">
      <c r="A8">
        <v>0</v>
      </c>
      <c r="B8" s="1">
        <v>42953</v>
      </c>
      <c r="C8" s="2">
        <v>0.66681931712962961</v>
      </c>
      <c r="D8" t="s">
        <v>1</v>
      </c>
      <c r="E8">
        <v>0.1</v>
      </c>
      <c r="F8">
        <v>20</v>
      </c>
      <c r="G8">
        <v>855.23590612192697</v>
      </c>
      <c r="H8">
        <v>835199.32554687001</v>
      </c>
      <c r="I8">
        <v>5846957.5348321097</v>
      </c>
      <c r="J8">
        <v>0.14284340540722801</v>
      </c>
    </row>
    <row r="9" spans="1:13" x14ac:dyDescent="0.2">
      <c r="A9">
        <v>0</v>
      </c>
      <c r="B9" s="1">
        <v>42953</v>
      </c>
      <c r="C9" s="2">
        <v>0.87127748842592589</v>
      </c>
      <c r="D9" t="s">
        <v>1</v>
      </c>
      <c r="E9">
        <v>0.2</v>
      </c>
      <c r="F9">
        <v>20</v>
      </c>
      <c r="G9">
        <v>874.99271118558602</v>
      </c>
      <c r="H9">
        <v>852922.72997744405</v>
      </c>
      <c r="I9">
        <v>6018318.16291859</v>
      </c>
      <c r="J9">
        <v>0.141721109932781</v>
      </c>
    </row>
    <row r="10" spans="1:13" x14ac:dyDescent="0.2">
      <c r="A10">
        <v>0</v>
      </c>
      <c r="B10" s="1">
        <v>42954</v>
      </c>
      <c r="C10" s="2">
        <v>7.0834166666666656E-2</v>
      </c>
      <c r="D10" t="s">
        <v>1</v>
      </c>
      <c r="E10">
        <v>0.3</v>
      </c>
      <c r="F10">
        <v>20</v>
      </c>
      <c r="G10">
        <v>896.10216209082796</v>
      </c>
      <c r="H10">
        <v>822748.34692342405</v>
      </c>
      <c r="I10">
        <v>5774990.2811181499</v>
      </c>
      <c r="J10">
        <v>0.14246748598235201</v>
      </c>
    </row>
    <row r="11" spans="1:13" x14ac:dyDescent="0.2">
      <c r="A11">
        <v>0</v>
      </c>
      <c r="B11" s="1">
        <v>42954</v>
      </c>
      <c r="C11" s="2">
        <v>0.26233212962962965</v>
      </c>
      <c r="D11" t="s">
        <v>1</v>
      </c>
      <c r="E11">
        <v>0.4</v>
      </c>
      <c r="F11">
        <v>20</v>
      </c>
      <c r="G11">
        <v>925.23367334777095</v>
      </c>
      <c r="H11">
        <v>809388.85967136896</v>
      </c>
      <c r="I11">
        <v>5656335.8018140402</v>
      </c>
      <c r="J11">
        <v>0.14309420233002901</v>
      </c>
    </row>
    <row r="12" spans="1:13" x14ac:dyDescent="0.2">
      <c r="A12">
        <v>0</v>
      </c>
      <c r="B12" s="1">
        <v>42954</v>
      </c>
      <c r="C12" s="2">
        <v>0.45279631944444443</v>
      </c>
      <c r="D12" t="s">
        <v>1</v>
      </c>
      <c r="E12">
        <v>0.5</v>
      </c>
      <c r="F12">
        <v>20</v>
      </c>
      <c r="G12">
        <v>984.43217360311405</v>
      </c>
      <c r="H12">
        <v>800542.64029979403</v>
      </c>
      <c r="I12">
        <v>5582652.7542486498</v>
      </c>
      <c r="J12">
        <v>0.14339825089256</v>
      </c>
    </row>
    <row r="13" spans="1:13" x14ac:dyDescent="0.2">
      <c r="A13">
        <v>0</v>
      </c>
      <c r="B13" s="1">
        <v>42954</v>
      </c>
      <c r="C13" s="2">
        <v>0.47920398148148147</v>
      </c>
      <c r="D13" t="s">
        <v>2</v>
      </c>
      <c r="E13">
        <v>0</v>
      </c>
      <c r="F13">
        <v>20</v>
      </c>
      <c r="G13">
        <v>833.41003594256199</v>
      </c>
      <c r="H13">
        <v>214343.848976893</v>
      </c>
      <c r="I13">
        <v>1823195.82249325</v>
      </c>
      <c r="J13">
        <v>0.117564907911962</v>
      </c>
      <c r="L13" t="s">
        <v>2</v>
      </c>
      <c r="M13">
        <f>AVERAGE(E13:E19)</f>
        <v>0.22142857142857145</v>
      </c>
    </row>
    <row r="14" spans="1:13" x14ac:dyDescent="0.2">
      <c r="A14">
        <v>0</v>
      </c>
      <c r="B14" s="1">
        <v>42955</v>
      </c>
      <c r="C14" s="2">
        <v>0.50597423611111114</v>
      </c>
      <c r="D14" t="s">
        <v>2</v>
      </c>
      <c r="E14">
        <v>0.05</v>
      </c>
      <c r="F14">
        <v>20</v>
      </c>
      <c r="G14">
        <v>830.82336133748197</v>
      </c>
      <c r="H14">
        <v>207612.92173028601</v>
      </c>
      <c r="I14">
        <v>1789783.4611200499</v>
      </c>
      <c r="J14">
        <v>0.11599890502975201</v>
      </c>
    </row>
    <row r="15" spans="1:13" x14ac:dyDescent="0.2">
      <c r="A15">
        <v>0</v>
      </c>
      <c r="B15" s="1">
        <v>42954</v>
      </c>
      <c r="C15" s="2">
        <v>0.50123891203703697</v>
      </c>
      <c r="D15" t="s">
        <v>2</v>
      </c>
      <c r="E15">
        <v>0.1</v>
      </c>
      <c r="F15">
        <v>20</v>
      </c>
      <c r="G15">
        <v>829.89144816348903</v>
      </c>
      <c r="H15">
        <v>226799.174238707</v>
      </c>
      <c r="I15">
        <v>1895820.9924262399</v>
      </c>
      <c r="J15">
        <v>0.11963111240183701</v>
      </c>
    </row>
    <row r="16" spans="1:13" x14ac:dyDescent="0.2">
      <c r="A16">
        <v>0</v>
      </c>
      <c r="B16" s="1">
        <v>42954</v>
      </c>
      <c r="C16" s="2">
        <v>0.52247793981481483</v>
      </c>
      <c r="D16" t="s">
        <v>2</v>
      </c>
      <c r="E16">
        <v>0.2</v>
      </c>
      <c r="F16">
        <v>20</v>
      </c>
      <c r="G16">
        <v>844.78614781373801</v>
      </c>
      <c r="H16">
        <v>215555.17142353801</v>
      </c>
      <c r="I16">
        <v>1834475.5013516401</v>
      </c>
      <c r="J16">
        <v>0.11750234400225899</v>
      </c>
    </row>
    <row r="17" spans="1:13" x14ac:dyDescent="0.2">
      <c r="A17">
        <v>0</v>
      </c>
      <c r="B17" s="1">
        <v>42954</v>
      </c>
      <c r="C17" s="2">
        <v>0.543652824074074</v>
      </c>
      <c r="D17" t="s">
        <v>2</v>
      </c>
      <c r="E17">
        <v>0.3</v>
      </c>
      <c r="F17">
        <v>20</v>
      </c>
      <c r="G17">
        <v>856.10079638549496</v>
      </c>
      <c r="H17">
        <v>212948.97061371</v>
      </c>
      <c r="I17">
        <v>1835487.4620021901</v>
      </c>
      <c r="J17">
        <v>0.11601766561860299</v>
      </c>
    </row>
    <row r="18" spans="1:13" x14ac:dyDescent="0.2">
      <c r="A18">
        <v>0</v>
      </c>
      <c r="B18" s="1">
        <v>42954</v>
      </c>
      <c r="C18" s="2">
        <v>0.56493718749999999</v>
      </c>
      <c r="D18" t="s">
        <v>2</v>
      </c>
      <c r="E18">
        <v>0.4</v>
      </c>
      <c r="F18">
        <v>20</v>
      </c>
      <c r="G18">
        <v>895.95919350225995</v>
      </c>
      <c r="H18">
        <v>213948.53143492399</v>
      </c>
      <c r="I18">
        <v>1844862.76834604</v>
      </c>
      <c r="J18">
        <v>0.115969889525567</v>
      </c>
    </row>
    <row r="19" spans="1:13" x14ac:dyDescent="0.2">
      <c r="A19">
        <v>0</v>
      </c>
      <c r="B19" s="1">
        <v>42954</v>
      </c>
      <c r="C19" s="2">
        <v>0.58617792824074078</v>
      </c>
      <c r="D19" t="s">
        <v>2</v>
      </c>
      <c r="E19">
        <v>0.5</v>
      </c>
      <c r="F19">
        <v>20</v>
      </c>
      <c r="G19">
        <v>910.90106057822595</v>
      </c>
      <c r="H19">
        <v>212375.52162491201</v>
      </c>
      <c r="I19">
        <v>1841132.3217322</v>
      </c>
      <c r="J19">
        <v>0.115350493344824</v>
      </c>
    </row>
    <row r="20" spans="1:13" x14ac:dyDescent="0.2">
      <c r="A20">
        <v>0</v>
      </c>
      <c r="B20" s="1">
        <v>42955</v>
      </c>
      <c r="C20" s="2">
        <v>0.91828821759259249</v>
      </c>
      <c r="D20" t="s">
        <v>3</v>
      </c>
      <c r="E20">
        <v>0</v>
      </c>
      <c r="F20">
        <v>20</v>
      </c>
      <c r="G20">
        <v>942.20246614775601</v>
      </c>
      <c r="H20">
        <v>6.1157836000000003</v>
      </c>
      <c r="I20">
        <v>50.695689549999997</v>
      </c>
      <c r="J20">
        <v>0.12063715188188</v>
      </c>
      <c r="L20" t="s">
        <v>3</v>
      </c>
      <c r="M20">
        <f>AVERAGE(J20:J25)</f>
        <v>0.11850370537010883</v>
      </c>
    </row>
    <row r="21" spans="1:13" x14ac:dyDescent="0.2">
      <c r="A21">
        <v>0</v>
      </c>
      <c r="B21" s="1">
        <v>42955</v>
      </c>
      <c r="C21" s="2">
        <v>0.919407800925926</v>
      </c>
      <c r="D21" t="s">
        <v>3</v>
      </c>
      <c r="E21">
        <v>0.1</v>
      </c>
      <c r="F21">
        <v>20</v>
      </c>
      <c r="G21">
        <v>935.324925374705</v>
      </c>
      <c r="H21">
        <v>6.1149305999999797</v>
      </c>
      <c r="I21">
        <v>50.830516350000003</v>
      </c>
      <c r="J21">
        <v>0.12030038329524</v>
      </c>
    </row>
    <row r="22" spans="1:13" x14ac:dyDescent="0.2">
      <c r="A22">
        <v>0</v>
      </c>
      <c r="B22" s="1">
        <v>42955</v>
      </c>
      <c r="C22" s="2">
        <v>0.92055577546296297</v>
      </c>
      <c r="D22" t="s">
        <v>3</v>
      </c>
      <c r="E22">
        <v>0.2</v>
      </c>
      <c r="F22">
        <v>20</v>
      </c>
      <c r="G22">
        <v>978.23348140472694</v>
      </c>
      <c r="H22">
        <v>6.1617472999999698</v>
      </c>
      <c r="I22">
        <v>51.947397749999901</v>
      </c>
      <c r="J22">
        <v>0.118615129282389</v>
      </c>
    </row>
    <row r="23" spans="1:13" x14ac:dyDescent="0.2">
      <c r="A23">
        <v>0</v>
      </c>
      <c r="B23" s="1">
        <v>42955</v>
      </c>
      <c r="C23" s="2">
        <v>0.92171493055555553</v>
      </c>
      <c r="D23" t="s">
        <v>3</v>
      </c>
      <c r="E23">
        <v>0.3</v>
      </c>
      <c r="F23">
        <v>20</v>
      </c>
      <c r="G23">
        <v>983.99605602758197</v>
      </c>
      <c r="H23">
        <v>6.1599681499999699</v>
      </c>
      <c r="I23">
        <v>51.882661799999902</v>
      </c>
      <c r="J23">
        <v>0.118728838041227</v>
      </c>
    </row>
    <row r="24" spans="1:13" x14ac:dyDescent="0.2">
      <c r="A24">
        <v>0</v>
      </c>
      <c r="B24" s="1">
        <v>42955</v>
      </c>
      <c r="C24" s="2">
        <v>0.92287850694444451</v>
      </c>
      <c r="D24" t="s">
        <v>3</v>
      </c>
      <c r="E24">
        <v>0.4</v>
      </c>
      <c r="F24">
        <v>20</v>
      </c>
      <c r="G24">
        <v>1034.10307600851</v>
      </c>
      <c r="H24">
        <v>6.16835115000009</v>
      </c>
      <c r="I24">
        <v>52.824615649999998</v>
      </c>
      <c r="J24">
        <v>0.116770393387615</v>
      </c>
    </row>
    <row r="25" spans="1:13" x14ac:dyDescent="0.2">
      <c r="A25">
        <v>0</v>
      </c>
      <c r="B25" s="1">
        <v>42955</v>
      </c>
      <c r="C25" s="2">
        <v>0.92405199074074085</v>
      </c>
      <c r="D25" t="s">
        <v>3</v>
      </c>
      <c r="E25">
        <v>0.5</v>
      </c>
      <c r="F25">
        <v>20</v>
      </c>
      <c r="G25">
        <v>1095.34263869353</v>
      </c>
      <c r="H25">
        <v>6.1477508500000102</v>
      </c>
      <c r="I25">
        <v>53.011408299999999</v>
      </c>
      <c r="J25">
        <v>0.115970336332302</v>
      </c>
    </row>
    <row r="26" spans="1:13" x14ac:dyDescent="0.2">
      <c r="A26">
        <v>0</v>
      </c>
      <c r="B26" s="1">
        <v>42955</v>
      </c>
      <c r="C26" s="2">
        <v>0.93161976851851858</v>
      </c>
      <c r="D26" t="s">
        <v>4</v>
      </c>
      <c r="E26">
        <v>0</v>
      </c>
      <c r="F26">
        <v>20</v>
      </c>
      <c r="G26">
        <v>872.46872563649799</v>
      </c>
      <c r="H26">
        <v>585.876878299998</v>
      </c>
      <c r="I26">
        <v>3041.0308710499999</v>
      </c>
      <c r="J26">
        <v>0.19265732678922401</v>
      </c>
      <c r="L26" t="s">
        <v>4</v>
      </c>
      <c r="M26">
        <f>AVERAGE(J26:J32)</f>
        <v>0.19178917140312554</v>
      </c>
    </row>
    <row r="27" spans="1:13" x14ac:dyDescent="0.2">
      <c r="A27">
        <v>0</v>
      </c>
      <c r="B27" s="1">
        <v>42955</v>
      </c>
      <c r="C27" s="2">
        <v>0.93301614583333337</v>
      </c>
      <c r="D27" t="s">
        <v>4</v>
      </c>
      <c r="E27">
        <v>0.05</v>
      </c>
      <c r="F27">
        <v>20</v>
      </c>
      <c r="G27">
        <v>865.72205034469403</v>
      </c>
      <c r="H27">
        <v>586.40980274999094</v>
      </c>
      <c r="I27">
        <v>3076.72808545</v>
      </c>
      <c r="J27">
        <v>0.190595264340437</v>
      </c>
    </row>
    <row r="28" spans="1:13" x14ac:dyDescent="0.2">
      <c r="A28">
        <v>0</v>
      </c>
      <c r="B28" s="1">
        <v>42955</v>
      </c>
      <c r="C28" s="2">
        <v>0.93439818287037035</v>
      </c>
      <c r="D28" t="s">
        <v>4</v>
      </c>
      <c r="E28">
        <v>0.1</v>
      </c>
      <c r="F28">
        <v>20</v>
      </c>
      <c r="G28">
        <v>880</v>
      </c>
      <c r="H28">
        <v>587.753307800009</v>
      </c>
      <c r="I28">
        <v>3075.22966704999</v>
      </c>
      <c r="J28">
        <v>0.19112501225439399</v>
      </c>
    </row>
    <row r="29" spans="1:13" x14ac:dyDescent="0.2">
      <c r="A29">
        <v>0</v>
      </c>
      <c r="B29" s="1">
        <v>42955</v>
      </c>
      <c r="C29" s="2">
        <v>0.9358207291666667</v>
      </c>
      <c r="D29" t="s">
        <v>4</v>
      </c>
      <c r="E29">
        <v>0.2</v>
      </c>
      <c r="F29">
        <v>20</v>
      </c>
      <c r="G29">
        <v>889.60520533994895</v>
      </c>
      <c r="H29">
        <v>598.86298844997498</v>
      </c>
      <c r="I29">
        <v>3128.7873201499901</v>
      </c>
      <c r="J29">
        <v>0.191404185446924</v>
      </c>
    </row>
    <row r="30" spans="1:13" x14ac:dyDescent="0.2">
      <c r="A30">
        <v>0</v>
      </c>
      <c r="B30" s="1">
        <v>42955</v>
      </c>
      <c r="C30" s="2">
        <v>0.93713940972222221</v>
      </c>
      <c r="D30" t="s">
        <v>4</v>
      </c>
      <c r="E30">
        <v>0.3</v>
      </c>
      <c r="F30">
        <v>20</v>
      </c>
      <c r="G30">
        <v>930.70951599148702</v>
      </c>
      <c r="H30">
        <v>567.38625100001195</v>
      </c>
      <c r="I30">
        <v>2984.99934945</v>
      </c>
      <c r="J30">
        <v>0.19007918748945599</v>
      </c>
    </row>
    <row r="31" spans="1:13" x14ac:dyDescent="0.2">
      <c r="A31">
        <v>0</v>
      </c>
      <c r="B31" s="1">
        <v>42955</v>
      </c>
      <c r="C31" s="2">
        <v>0.93852004629629626</v>
      </c>
      <c r="D31" t="s">
        <v>4</v>
      </c>
      <c r="E31">
        <v>0.4</v>
      </c>
      <c r="F31">
        <v>20</v>
      </c>
      <c r="G31">
        <v>997.75377443641401</v>
      </c>
      <c r="H31">
        <v>581.53120130001798</v>
      </c>
      <c r="I31">
        <v>3017.4799189999899</v>
      </c>
      <c r="J31">
        <v>0.192720818998106</v>
      </c>
    </row>
    <row r="32" spans="1:13" x14ac:dyDescent="0.2">
      <c r="A32">
        <v>0</v>
      </c>
      <c r="B32" s="1">
        <v>42955</v>
      </c>
      <c r="C32" s="2">
        <v>0.93993320601851849</v>
      </c>
      <c r="D32" t="s">
        <v>4</v>
      </c>
      <c r="E32">
        <v>0.5</v>
      </c>
      <c r="F32">
        <v>20</v>
      </c>
      <c r="G32">
        <v>1019.6711566552</v>
      </c>
      <c r="H32">
        <v>605.65878335001298</v>
      </c>
      <c r="I32">
        <v>3122.8796244999999</v>
      </c>
      <c r="J32">
        <v>0.193942404503338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24"/>
  <sheetViews>
    <sheetView tabSelected="1" topLeftCell="J21" zoomScale="90" zoomScaleNormal="90" zoomScalePageLayoutView="90" workbookViewId="0">
      <selection activeCell="T73" sqref="T73"/>
    </sheetView>
  </sheetViews>
  <sheetFormatPr baseColWidth="10" defaultRowHeight="16" x14ac:dyDescent="0.2"/>
  <cols>
    <col min="4" max="4" width="10.83203125" style="3"/>
  </cols>
  <sheetData>
    <row r="2" spans="1:9" x14ac:dyDescent="0.2">
      <c r="A2">
        <v>0</v>
      </c>
      <c r="B2" s="2">
        <v>42962.931071793981</v>
      </c>
      <c r="C2" t="s">
        <v>3</v>
      </c>
      <c r="D2" s="3">
        <v>0.01</v>
      </c>
      <c r="E2">
        <v>0</v>
      </c>
      <c r="F2">
        <v>20</v>
      </c>
      <c r="G2">
        <v>89005.296431708004</v>
      </c>
      <c r="H2">
        <v>7.6295313719682198</v>
      </c>
      <c r="I2">
        <v>7.2237865337438797E-2</v>
      </c>
    </row>
    <row r="3" spans="1:9" x14ac:dyDescent="0.2">
      <c r="A3">
        <v>0</v>
      </c>
      <c r="B3" s="2">
        <v>42962.935400497685</v>
      </c>
      <c r="C3" t="s">
        <v>3</v>
      </c>
      <c r="D3" s="3">
        <v>0.01</v>
      </c>
      <c r="E3">
        <v>2.5000000000000001E-2</v>
      </c>
      <c r="F3">
        <v>20</v>
      </c>
      <c r="G3">
        <v>88319.079535235302</v>
      </c>
      <c r="H3">
        <v>7.7873364982670301</v>
      </c>
      <c r="I3">
        <v>7.5750091839514394E-2</v>
      </c>
    </row>
    <row r="4" spans="1:9" x14ac:dyDescent="0.2">
      <c r="A4">
        <v>0</v>
      </c>
      <c r="B4" s="2">
        <v>42962.940094270831</v>
      </c>
      <c r="C4" t="s">
        <v>3</v>
      </c>
      <c r="D4" s="3">
        <v>0.01</v>
      </c>
      <c r="E4">
        <v>0.05</v>
      </c>
      <c r="F4">
        <v>20</v>
      </c>
      <c r="G4">
        <v>86886.883711538205</v>
      </c>
      <c r="H4">
        <v>7.5650650084336801</v>
      </c>
      <c r="I4">
        <v>7.5751745114489205E-2</v>
      </c>
    </row>
    <row r="5" spans="1:9" x14ac:dyDescent="0.2">
      <c r="A5">
        <v>0</v>
      </c>
      <c r="B5" s="2">
        <v>42962.944350486112</v>
      </c>
      <c r="C5" t="s">
        <v>3</v>
      </c>
      <c r="D5" s="3">
        <v>0.01</v>
      </c>
      <c r="E5">
        <v>7.4999999999999997E-2</v>
      </c>
      <c r="F5">
        <v>20</v>
      </c>
      <c r="G5">
        <v>87767.771257440894</v>
      </c>
      <c r="H5">
        <v>7.1842152956459504</v>
      </c>
      <c r="I5">
        <v>7.5990375057220394E-2</v>
      </c>
    </row>
    <row r="6" spans="1:9" x14ac:dyDescent="0.2">
      <c r="A6">
        <v>0</v>
      </c>
      <c r="B6" s="2">
        <v>42962.946473275464</v>
      </c>
      <c r="C6" t="s">
        <v>3</v>
      </c>
      <c r="D6" s="3">
        <v>0.01</v>
      </c>
      <c r="E6">
        <v>0.1</v>
      </c>
      <c r="F6">
        <v>20</v>
      </c>
      <c r="G6">
        <v>88848.304169553594</v>
      </c>
      <c r="H6">
        <v>7.5280187930086999</v>
      </c>
      <c r="I6">
        <v>7.7497065469420201E-2</v>
      </c>
    </row>
    <row r="7" spans="1:9" x14ac:dyDescent="0.2">
      <c r="A7">
        <v>0</v>
      </c>
      <c r="B7" s="2">
        <v>42962.948505902779</v>
      </c>
      <c r="C7" t="s">
        <v>3</v>
      </c>
      <c r="D7" s="3">
        <v>0.01</v>
      </c>
      <c r="E7">
        <v>0.15</v>
      </c>
      <c r="F7">
        <v>20</v>
      </c>
      <c r="G7">
        <v>89304.620580810297</v>
      </c>
      <c r="H7">
        <v>6.5816957110237997</v>
      </c>
      <c r="I7">
        <v>7.6171746882130603E-2</v>
      </c>
    </row>
    <row r="8" spans="1:9" x14ac:dyDescent="0.2">
      <c r="A8">
        <v>0</v>
      </c>
      <c r="B8" s="2">
        <v>42962.950506469904</v>
      </c>
      <c r="C8" t="s">
        <v>3</v>
      </c>
      <c r="D8" s="3">
        <v>0.01</v>
      </c>
      <c r="E8">
        <v>0.2</v>
      </c>
      <c r="F8">
        <v>20</v>
      </c>
      <c r="G8">
        <v>89704.620580810297</v>
      </c>
      <c r="H8">
        <v>7.1867982686334599</v>
      </c>
      <c r="I8">
        <v>7.8497460590891605E-2</v>
      </c>
    </row>
    <row r="9" spans="1:9" x14ac:dyDescent="0.2">
      <c r="A9">
        <v>0</v>
      </c>
      <c r="B9" s="2">
        <v>42962.95248310185</v>
      </c>
      <c r="C9" t="s">
        <v>3</v>
      </c>
      <c r="D9" s="3">
        <v>0.01</v>
      </c>
      <c r="E9">
        <v>0.25</v>
      </c>
      <c r="F9">
        <v>20</v>
      </c>
      <c r="G9">
        <v>88672.7895683721</v>
      </c>
      <c r="H9">
        <v>6.7206787743995697</v>
      </c>
      <c r="I9">
        <v>7.7095644960485293E-2</v>
      </c>
    </row>
    <row r="10" spans="1:9" x14ac:dyDescent="0.2">
      <c r="A10">
        <v>0</v>
      </c>
      <c r="B10" s="2">
        <v>42962.954476921295</v>
      </c>
      <c r="C10" t="s">
        <v>3</v>
      </c>
      <c r="D10" s="3">
        <v>0.01</v>
      </c>
      <c r="E10">
        <v>0.3</v>
      </c>
      <c r="F10">
        <v>20</v>
      </c>
      <c r="G10">
        <v>89678.949398888799</v>
      </c>
      <c r="H10">
        <v>7.0636283996282998</v>
      </c>
      <c r="I10">
        <v>7.7488025046631395E-2</v>
      </c>
    </row>
    <row r="11" spans="1:9" x14ac:dyDescent="0.2">
      <c r="A11">
        <v>0</v>
      </c>
      <c r="B11" s="2">
        <v>42962.956802361114</v>
      </c>
      <c r="C11" t="s">
        <v>3</v>
      </c>
      <c r="D11" s="3">
        <v>0.1</v>
      </c>
      <c r="E11">
        <v>0</v>
      </c>
      <c r="F11">
        <v>20</v>
      </c>
      <c r="G11">
        <v>942.841525595083</v>
      </c>
      <c r="H11">
        <v>6.2809384374223498</v>
      </c>
      <c r="I11">
        <v>0.107367008252925</v>
      </c>
    </row>
    <row r="12" spans="1:9" x14ac:dyDescent="0.2">
      <c r="A12">
        <v>0</v>
      </c>
      <c r="B12" s="2">
        <v>42962.958288472226</v>
      </c>
      <c r="C12" t="s">
        <v>3</v>
      </c>
      <c r="D12" s="3">
        <v>0.1</v>
      </c>
      <c r="E12">
        <v>2.5000000000000001E-2</v>
      </c>
      <c r="F12">
        <v>20</v>
      </c>
      <c r="G12">
        <v>936.25452788353505</v>
      </c>
      <c r="H12">
        <v>6.3032025919124104</v>
      </c>
      <c r="I12">
        <v>0.107375901313832</v>
      </c>
    </row>
    <row r="13" spans="1:9" x14ac:dyDescent="0.2">
      <c r="A13">
        <v>0</v>
      </c>
      <c r="B13" s="2">
        <v>42962.959775162039</v>
      </c>
      <c r="C13" t="s">
        <v>3</v>
      </c>
      <c r="D13" s="3">
        <v>0.1</v>
      </c>
      <c r="E13">
        <v>0.05</v>
      </c>
      <c r="F13">
        <v>20</v>
      </c>
      <c r="G13">
        <v>915.68846365648994</v>
      </c>
      <c r="H13">
        <v>6.4285775877409703</v>
      </c>
      <c r="I13">
        <v>0.107942675533005</v>
      </c>
    </row>
    <row r="14" spans="1:9" x14ac:dyDescent="0.2">
      <c r="A14">
        <v>0</v>
      </c>
      <c r="B14" s="2">
        <v>42962.961273009256</v>
      </c>
      <c r="C14" t="s">
        <v>3</v>
      </c>
      <c r="D14" s="3">
        <v>0.1</v>
      </c>
      <c r="E14">
        <v>7.4999999999999997E-2</v>
      </c>
      <c r="F14">
        <v>20</v>
      </c>
      <c r="G14">
        <v>930.76451930282497</v>
      </c>
      <c r="H14">
        <v>6.3036830634546499</v>
      </c>
      <c r="I14">
        <v>0.106106050849783</v>
      </c>
    </row>
    <row r="15" spans="1:9" x14ac:dyDescent="0.2">
      <c r="A15">
        <v>0</v>
      </c>
      <c r="B15" s="2">
        <v>42962.962774884261</v>
      </c>
      <c r="C15" t="s">
        <v>3</v>
      </c>
      <c r="D15" s="3">
        <v>0.1</v>
      </c>
      <c r="E15">
        <v>0.1</v>
      </c>
      <c r="F15">
        <v>20</v>
      </c>
      <c r="G15">
        <v>945.63696563855501</v>
      </c>
      <c r="H15">
        <v>6.1705562959979403</v>
      </c>
      <c r="I15">
        <v>0.10635113718432999</v>
      </c>
    </row>
    <row r="16" spans="1:9" x14ac:dyDescent="0.2">
      <c r="A16">
        <v>0</v>
      </c>
      <c r="B16" s="2">
        <v>42962.964292349534</v>
      </c>
      <c r="C16" t="s">
        <v>3</v>
      </c>
      <c r="D16" s="3">
        <v>0.1</v>
      </c>
      <c r="E16">
        <v>0.15</v>
      </c>
      <c r="F16">
        <v>20</v>
      </c>
      <c r="G16">
        <v>945.47899031347799</v>
      </c>
      <c r="H16">
        <v>6.0310504242852696</v>
      </c>
      <c r="I16">
        <v>0.105378160580385</v>
      </c>
    </row>
    <row r="17" spans="1:9" x14ac:dyDescent="0.2">
      <c r="A17">
        <v>0</v>
      </c>
      <c r="B17" s="2">
        <v>42962.965795219905</v>
      </c>
      <c r="C17" t="s">
        <v>3</v>
      </c>
      <c r="D17" s="3">
        <v>0.1</v>
      </c>
      <c r="E17">
        <v>0.2</v>
      </c>
      <c r="F17">
        <v>20</v>
      </c>
      <c r="G17">
        <v>934.645333314651</v>
      </c>
      <c r="H17">
        <v>5.9600706479117003</v>
      </c>
      <c r="I17">
        <v>0.106593619298612</v>
      </c>
    </row>
    <row r="18" spans="1:9" x14ac:dyDescent="0.2">
      <c r="A18">
        <v>0</v>
      </c>
      <c r="B18" s="2">
        <v>42962.96730744213</v>
      </c>
      <c r="C18" t="s">
        <v>3</v>
      </c>
      <c r="D18" s="3">
        <v>0.1</v>
      </c>
      <c r="E18">
        <v>0.25</v>
      </c>
      <c r="F18">
        <v>20</v>
      </c>
      <c r="G18">
        <v>951.12796539695103</v>
      </c>
      <c r="H18">
        <v>5.9744466747846001</v>
      </c>
      <c r="I18">
        <v>0.104904532685029</v>
      </c>
    </row>
    <row r="19" spans="1:9" x14ac:dyDescent="0.2">
      <c r="A19">
        <v>0</v>
      </c>
      <c r="B19" s="2">
        <v>42962.968856585649</v>
      </c>
      <c r="C19" t="s">
        <v>3</v>
      </c>
      <c r="D19" s="3">
        <v>0.1</v>
      </c>
      <c r="E19">
        <v>0.3</v>
      </c>
      <c r="F19">
        <v>20</v>
      </c>
      <c r="G19">
        <v>962.57922118328395</v>
      </c>
      <c r="H19">
        <v>5.9212072393067103</v>
      </c>
      <c r="I19">
        <v>0.102132090268421</v>
      </c>
    </row>
    <row r="20" spans="1:9" x14ac:dyDescent="0.2">
      <c r="A20">
        <v>0</v>
      </c>
      <c r="B20" s="2">
        <v>42963.004247453704</v>
      </c>
      <c r="C20" t="s">
        <v>3</v>
      </c>
      <c r="D20" s="3">
        <v>1</v>
      </c>
      <c r="E20">
        <v>0</v>
      </c>
      <c r="F20">
        <v>30</v>
      </c>
      <c r="G20">
        <v>13.429837816758999</v>
      </c>
      <c r="H20">
        <v>1.2201973821907699</v>
      </c>
      <c r="I20">
        <v>0.159406696755237</v>
      </c>
    </row>
    <row r="21" spans="1:9" x14ac:dyDescent="0.2">
      <c r="A21">
        <v>0</v>
      </c>
      <c r="B21" s="2">
        <v>42963.005689317128</v>
      </c>
      <c r="C21" t="s">
        <v>3</v>
      </c>
      <c r="D21" s="3">
        <v>1</v>
      </c>
      <c r="E21">
        <v>2.5000000000000001E-2</v>
      </c>
      <c r="F21">
        <v>30</v>
      </c>
      <c r="G21">
        <v>13.292830558485001</v>
      </c>
      <c r="H21">
        <v>1.1856365923002099</v>
      </c>
      <c r="I21">
        <v>0.16295016656473199</v>
      </c>
    </row>
    <row r="22" spans="1:9" x14ac:dyDescent="0.2">
      <c r="A22">
        <v>0</v>
      </c>
      <c r="B22" s="2">
        <v>42963.007131550927</v>
      </c>
      <c r="C22" t="s">
        <v>3</v>
      </c>
      <c r="D22" s="3">
        <v>1</v>
      </c>
      <c r="E22">
        <v>0.05</v>
      </c>
      <c r="F22">
        <v>30</v>
      </c>
      <c r="G22">
        <v>13.379101035793401</v>
      </c>
      <c r="H22">
        <v>1.2696833042786499</v>
      </c>
      <c r="I22">
        <v>0.160172544145714</v>
      </c>
    </row>
    <row r="23" spans="1:9" x14ac:dyDescent="0.2">
      <c r="A23">
        <v>0</v>
      </c>
      <c r="B23" s="2">
        <v>42963.00857002315</v>
      </c>
      <c r="C23" t="s">
        <v>3</v>
      </c>
      <c r="D23" s="3">
        <v>1</v>
      </c>
      <c r="E23">
        <v>7.4999999999999997E-2</v>
      </c>
      <c r="F23">
        <v>30</v>
      </c>
      <c r="G23">
        <v>13.4900043318729</v>
      </c>
      <c r="H23">
        <v>1.22115784499896</v>
      </c>
      <c r="I23">
        <v>0.162166495617596</v>
      </c>
    </row>
    <row r="24" spans="1:9" x14ac:dyDescent="0.2">
      <c r="A24">
        <v>0</v>
      </c>
      <c r="B24" s="2">
        <v>42963.010042476853</v>
      </c>
      <c r="C24" t="s">
        <v>3</v>
      </c>
      <c r="D24" s="3">
        <v>1</v>
      </c>
      <c r="E24">
        <v>0.1</v>
      </c>
      <c r="F24">
        <v>30</v>
      </c>
      <c r="G24">
        <v>13.521951894341401</v>
      </c>
      <c r="H24">
        <v>1.2206696504083701</v>
      </c>
      <c r="I24">
        <v>0.16038117322847301</v>
      </c>
    </row>
    <row r="25" spans="1:9" x14ac:dyDescent="0.2">
      <c r="A25">
        <v>0</v>
      </c>
      <c r="B25" s="2">
        <v>42963.011508460651</v>
      </c>
      <c r="C25" t="s">
        <v>3</v>
      </c>
      <c r="D25" s="3">
        <v>1</v>
      </c>
      <c r="E25">
        <v>0.15</v>
      </c>
      <c r="F25">
        <v>30</v>
      </c>
      <c r="G25">
        <v>13.552933099016601</v>
      </c>
      <c r="H25">
        <v>1.1956098035707601</v>
      </c>
      <c r="I25">
        <v>0.16028218596966201</v>
      </c>
    </row>
    <row r="26" spans="1:9" x14ac:dyDescent="0.2">
      <c r="A26">
        <v>0</v>
      </c>
      <c r="B26" s="2">
        <v>42963.0129633912</v>
      </c>
      <c r="C26" t="s">
        <v>3</v>
      </c>
      <c r="D26" s="3">
        <v>1</v>
      </c>
      <c r="E26">
        <v>0.2</v>
      </c>
      <c r="F26">
        <v>30</v>
      </c>
      <c r="G26">
        <v>13.7268579433719</v>
      </c>
      <c r="H26">
        <v>1.1749722287122499</v>
      </c>
      <c r="I26">
        <v>0.15996355991403699</v>
      </c>
    </row>
    <row r="27" spans="1:9" x14ac:dyDescent="0.2">
      <c r="A27">
        <v>0</v>
      </c>
      <c r="B27" s="2">
        <v>42963.014470624999</v>
      </c>
      <c r="C27" t="s">
        <v>3</v>
      </c>
      <c r="D27" s="3">
        <v>1</v>
      </c>
      <c r="E27">
        <v>0.25</v>
      </c>
      <c r="F27">
        <v>30</v>
      </c>
      <c r="G27">
        <v>14.0188355250325</v>
      </c>
      <c r="H27">
        <v>1.1984179048633199</v>
      </c>
      <c r="I27">
        <v>0.15973099428580201</v>
      </c>
    </row>
    <row r="28" spans="1:9" x14ac:dyDescent="0.2">
      <c r="A28">
        <v>0</v>
      </c>
      <c r="B28" s="2">
        <v>42963.015975532406</v>
      </c>
      <c r="C28" t="s">
        <v>3</v>
      </c>
      <c r="D28" s="3">
        <v>1</v>
      </c>
      <c r="E28">
        <v>0.3</v>
      </c>
      <c r="F28">
        <v>30</v>
      </c>
      <c r="G28">
        <v>14.5627143353005</v>
      </c>
      <c r="H28">
        <v>1.22917478050462</v>
      </c>
      <c r="I28">
        <v>0.158179203667936</v>
      </c>
    </row>
    <row r="29" spans="1:9" x14ac:dyDescent="0.2">
      <c r="A29">
        <v>0</v>
      </c>
      <c r="B29" s="2">
        <v>42958.606724398145</v>
      </c>
      <c r="C29" t="s">
        <v>4</v>
      </c>
      <c r="D29" s="3">
        <v>0.01</v>
      </c>
      <c r="E29">
        <v>0</v>
      </c>
      <c r="F29">
        <v>20</v>
      </c>
      <c r="G29">
        <v>82314.630329288106</v>
      </c>
      <c r="H29">
        <v>11.597103563819401</v>
      </c>
      <c r="I29">
        <v>0.16801166011211399</v>
      </c>
    </row>
    <row r="30" spans="1:9" x14ac:dyDescent="0.2">
      <c r="A30">
        <v>0</v>
      </c>
      <c r="B30" s="2">
        <v>42958.608320243053</v>
      </c>
      <c r="C30" t="s">
        <v>4</v>
      </c>
      <c r="D30" s="3">
        <v>0.01</v>
      </c>
      <c r="E30">
        <v>2.5000000000000001E-2</v>
      </c>
      <c r="F30">
        <v>20</v>
      </c>
      <c r="G30">
        <v>81909.180816120104</v>
      </c>
      <c r="H30">
        <v>11.783041605411601</v>
      </c>
      <c r="I30">
        <v>0.16694937022224801</v>
      </c>
    </row>
    <row r="31" spans="1:9" x14ac:dyDescent="0.2">
      <c r="A31">
        <v>0</v>
      </c>
      <c r="B31" s="2">
        <v>42958.60991353009</v>
      </c>
      <c r="C31" t="s">
        <v>4</v>
      </c>
      <c r="D31" s="3">
        <v>0.01</v>
      </c>
      <c r="E31">
        <v>0.05</v>
      </c>
      <c r="F31">
        <v>20</v>
      </c>
      <c r="G31">
        <v>80740.995638998502</v>
      </c>
      <c r="H31">
        <v>11.4491117968245</v>
      </c>
      <c r="I31">
        <v>0.16750918273946999</v>
      </c>
    </row>
    <row r="32" spans="1:9" x14ac:dyDescent="0.2">
      <c r="A32">
        <v>0</v>
      </c>
      <c r="B32" s="2">
        <v>42958.611454004633</v>
      </c>
      <c r="C32" t="s">
        <v>4</v>
      </c>
      <c r="D32" s="3">
        <v>0.01</v>
      </c>
      <c r="E32">
        <v>7.4999999999999997E-2</v>
      </c>
      <c r="F32">
        <v>20</v>
      </c>
      <c r="G32">
        <v>80363.511056507094</v>
      </c>
      <c r="H32">
        <v>11.364141417545</v>
      </c>
      <c r="I32">
        <v>0.16674495842558501</v>
      </c>
    </row>
    <row r="33" spans="1:9" x14ac:dyDescent="0.2">
      <c r="A33">
        <v>0</v>
      </c>
      <c r="B33" s="2">
        <v>42958.612937673613</v>
      </c>
      <c r="C33" t="s">
        <v>4</v>
      </c>
      <c r="D33" s="3">
        <v>0.01</v>
      </c>
      <c r="E33">
        <v>0.1</v>
      </c>
      <c r="F33">
        <v>20</v>
      </c>
      <c r="G33">
        <v>81300.795205794202</v>
      </c>
      <c r="H33">
        <v>10.6656778152061</v>
      </c>
      <c r="I33">
        <v>0.16554917338812999</v>
      </c>
    </row>
    <row r="34" spans="1:9" x14ac:dyDescent="0.2">
      <c r="A34">
        <v>0</v>
      </c>
      <c r="B34" s="2">
        <v>42958.614427604167</v>
      </c>
      <c r="C34" t="s">
        <v>4</v>
      </c>
      <c r="D34" s="3">
        <v>0.01</v>
      </c>
      <c r="E34">
        <v>0.15</v>
      </c>
      <c r="F34">
        <v>20</v>
      </c>
      <c r="G34">
        <v>83013.868227037994</v>
      </c>
      <c r="H34">
        <v>11.3556877692565</v>
      </c>
      <c r="I34">
        <v>0.164881311622222</v>
      </c>
    </row>
    <row r="35" spans="1:9" x14ac:dyDescent="0.2">
      <c r="A35">
        <v>0</v>
      </c>
      <c r="B35" s="2">
        <v>42958.615941620374</v>
      </c>
      <c r="C35" t="s">
        <v>4</v>
      </c>
      <c r="D35" s="3">
        <v>0.01</v>
      </c>
      <c r="E35">
        <v>0.2</v>
      </c>
      <c r="F35">
        <v>20</v>
      </c>
      <c r="G35">
        <v>84442.270696660096</v>
      </c>
      <c r="H35">
        <v>10.947390049271499</v>
      </c>
      <c r="I35">
        <v>0.166192155896565</v>
      </c>
    </row>
    <row r="36" spans="1:9" x14ac:dyDescent="0.2">
      <c r="A36">
        <v>0</v>
      </c>
      <c r="B36" s="2">
        <v>42958.61745179398</v>
      </c>
      <c r="C36" t="s">
        <v>4</v>
      </c>
      <c r="D36" s="3">
        <v>0.01</v>
      </c>
      <c r="E36">
        <v>0.25</v>
      </c>
      <c r="F36">
        <v>20</v>
      </c>
      <c r="G36">
        <v>81801.974667829694</v>
      </c>
      <c r="H36">
        <v>11.158986980282499</v>
      </c>
      <c r="I36">
        <v>0.166220773766491</v>
      </c>
    </row>
    <row r="37" spans="1:9" x14ac:dyDescent="0.2">
      <c r="A37">
        <v>0</v>
      </c>
      <c r="B37" s="2">
        <v>42958.61896310185</v>
      </c>
      <c r="C37" t="s">
        <v>4</v>
      </c>
      <c r="D37" s="3">
        <v>0.01</v>
      </c>
      <c r="E37">
        <v>0.3</v>
      </c>
      <c r="F37">
        <v>20</v>
      </c>
      <c r="G37">
        <v>86024.980398531101</v>
      </c>
      <c r="H37">
        <v>11.0354289549459</v>
      </c>
      <c r="I37">
        <v>0.16605223974490901</v>
      </c>
    </row>
    <row r="38" spans="1:9" x14ac:dyDescent="0.2">
      <c r="A38">
        <v>0</v>
      </c>
      <c r="B38" s="2">
        <v>42962.994450891201</v>
      </c>
      <c r="C38" t="s">
        <v>4</v>
      </c>
      <c r="D38" s="3">
        <v>0.1</v>
      </c>
      <c r="E38">
        <v>0</v>
      </c>
      <c r="F38">
        <v>20</v>
      </c>
      <c r="G38">
        <v>887.69396266632498</v>
      </c>
      <c r="H38">
        <v>7.5036361285621798</v>
      </c>
      <c r="I38">
        <v>0.16351605772469199</v>
      </c>
    </row>
    <row r="39" spans="1:9" x14ac:dyDescent="0.2">
      <c r="A39">
        <v>0</v>
      </c>
      <c r="B39" s="2">
        <v>42962.995917928238</v>
      </c>
      <c r="C39" t="s">
        <v>4</v>
      </c>
      <c r="D39" s="3">
        <v>0.1</v>
      </c>
      <c r="E39">
        <v>2.5000000000000001E-2</v>
      </c>
      <c r="F39">
        <v>20</v>
      </c>
      <c r="G39">
        <v>879.96925779702406</v>
      </c>
      <c r="H39">
        <v>7.1276031625005301</v>
      </c>
      <c r="I39">
        <v>0.163422246764896</v>
      </c>
    </row>
    <row r="40" spans="1:9" x14ac:dyDescent="0.2">
      <c r="A40">
        <v>0</v>
      </c>
      <c r="B40" s="2">
        <v>42962.997385428243</v>
      </c>
      <c r="C40" t="s">
        <v>4</v>
      </c>
      <c r="D40" s="3">
        <v>0.1</v>
      </c>
      <c r="E40">
        <v>0.05</v>
      </c>
      <c r="F40">
        <v>20</v>
      </c>
      <c r="G40">
        <v>874.61388103007198</v>
      </c>
      <c r="H40">
        <v>7.3249805336926102</v>
      </c>
      <c r="I40">
        <v>0.163750232728129</v>
      </c>
    </row>
    <row r="41" spans="1:9" x14ac:dyDescent="0.2">
      <c r="A41">
        <v>0</v>
      </c>
      <c r="B41" s="2">
        <v>42962.998825150462</v>
      </c>
      <c r="C41" t="s">
        <v>4</v>
      </c>
      <c r="D41" s="3">
        <v>0.1</v>
      </c>
      <c r="E41">
        <v>7.4999999999999997E-2</v>
      </c>
      <c r="F41">
        <v>20</v>
      </c>
      <c r="G41">
        <v>878.03040277223795</v>
      </c>
      <c r="H41">
        <v>7.2077108531937402</v>
      </c>
      <c r="I41">
        <v>0.16335441281072199</v>
      </c>
    </row>
    <row r="42" spans="1:9" x14ac:dyDescent="0.2">
      <c r="A42">
        <v>0</v>
      </c>
      <c r="B42" s="2">
        <v>42963.000279155094</v>
      </c>
      <c r="C42" t="s">
        <v>4</v>
      </c>
      <c r="D42" s="3">
        <v>0.1</v>
      </c>
      <c r="E42">
        <v>0.1</v>
      </c>
      <c r="F42">
        <v>20</v>
      </c>
      <c r="G42">
        <v>886.85402068144197</v>
      </c>
      <c r="H42">
        <v>7.2937995577904902</v>
      </c>
      <c r="I42">
        <v>0.163748976643982</v>
      </c>
    </row>
    <row r="43" spans="1:9" x14ac:dyDescent="0.2">
      <c r="A43">
        <v>0</v>
      </c>
      <c r="B43" s="2">
        <v>42963.001708935182</v>
      </c>
      <c r="C43" t="s">
        <v>4</v>
      </c>
      <c r="D43" s="3">
        <v>0.1</v>
      </c>
      <c r="E43">
        <v>0.15</v>
      </c>
      <c r="F43">
        <v>20</v>
      </c>
      <c r="G43">
        <v>895.10157814787601</v>
      </c>
      <c r="H43">
        <v>7.0916180333616898</v>
      </c>
      <c r="I43">
        <v>0.163982298801918</v>
      </c>
    </row>
    <row r="44" spans="1:9" x14ac:dyDescent="0.2">
      <c r="A44">
        <v>0</v>
      </c>
      <c r="B44" s="2">
        <v>42963.018267754633</v>
      </c>
      <c r="C44" t="s">
        <v>4</v>
      </c>
      <c r="D44" s="3">
        <v>1</v>
      </c>
      <c r="E44">
        <v>0</v>
      </c>
      <c r="F44">
        <v>20</v>
      </c>
      <c r="G44">
        <v>11.8316196806422</v>
      </c>
      <c r="H44">
        <v>0.904504915371249</v>
      </c>
      <c r="I44">
        <v>0.16085175418123601</v>
      </c>
    </row>
    <row r="45" spans="1:9" x14ac:dyDescent="0.2">
      <c r="A45">
        <v>0</v>
      </c>
      <c r="B45" s="2">
        <v>42963.019723356483</v>
      </c>
      <c r="C45" t="s">
        <v>4</v>
      </c>
      <c r="D45" s="3">
        <v>1</v>
      </c>
      <c r="E45">
        <v>2.5000000000000001E-2</v>
      </c>
      <c r="F45">
        <v>20</v>
      </c>
      <c r="G45">
        <v>11.6259169695554</v>
      </c>
      <c r="H45">
        <v>0.83728462589056996</v>
      </c>
      <c r="I45">
        <v>0.15973402339166101</v>
      </c>
    </row>
    <row r="46" spans="1:9" x14ac:dyDescent="0.2">
      <c r="A46">
        <v>0</v>
      </c>
      <c r="B46" s="2">
        <v>42963.021192118053</v>
      </c>
      <c r="C46" t="s">
        <v>4</v>
      </c>
      <c r="D46" s="3">
        <v>1</v>
      </c>
      <c r="E46">
        <v>0.05</v>
      </c>
      <c r="F46">
        <v>20</v>
      </c>
      <c r="G46">
        <v>11.6307160138581</v>
      </c>
      <c r="H46">
        <v>0.82641946818398904</v>
      </c>
      <c r="I46">
        <v>0.16009920208578601</v>
      </c>
    </row>
    <row r="47" spans="1:9" x14ac:dyDescent="0.2">
      <c r="A47">
        <v>0</v>
      </c>
      <c r="B47" s="2">
        <v>42963.022636423608</v>
      </c>
      <c r="C47" t="s">
        <v>4</v>
      </c>
      <c r="D47" s="3">
        <v>1</v>
      </c>
      <c r="E47">
        <v>7.4999999999999997E-2</v>
      </c>
      <c r="F47">
        <v>20</v>
      </c>
      <c r="G47">
        <v>11.815143555580301</v>
      </c>
      <c r="H47">
        <v>0.82152250353971101</v>
      </c>
      <c r="I47">
        <v>0.15932899797064701</v>
      </c>
    </row>
    <row r="48" spans="1:9" x14ac:dyDescent="0.2">
      <c r="A48">
        <v>0</v>
      </c>
      <c r="B48" s="2">
        <v>42963.024084918979</v>
      </c>
      <c r="C48" t="s">
        <v>4</v>
      </c>
      <c r="D48" s="3">
        <v>1</v>
      </c>
      <c r="E48">
        <v>0.1</v>
      </c>
      <c r="F48">
        <v>20</v>
      </c>
      <c r="G48">
        <v>12.0715529280134</v>
      </c>
      <c r="H48">
        <v>0.84153393868155701</v>
      </c>
      <c r="I48">
        <v>0.15909118971164199</v>
      </c>
    </row>
    <row r="49" spans="1:15" x14ac:dyDescent="0.2">
      <c r="A49">
        <v>0</v>
      </c>
      <c r="B49" s="2">
        <v>42963.025542106479</v>
      </c>
      <c r="C49" t="s">
        <v>4</v>
      </c>
      <c r="D49" s="3">
        <v>1</v>
      </c>
      <c r="E49">
        <v>0.15</v>
      </c>
      <c r="F49">
        <v>20</v>
      </c>
      <c r="G49">
        <v>12.2763059526606</v>
      </c>
      <c r="H49">
        <v>0.851049784485575</v>
      </c>
      <c r="I49">
        <v>0.15942162693687101</v>
      </c>
    </row>
    <row r="50" spans="1:15" x14ac:dyDescent="0.2">
      <c r="A50">
        <v>0</v>
      </c>
      <c r="B50" s="2">
        <v>42962.79121653935</v>
      </c>
      <c r="C50" t="s">
        <v>1</v>
      </c>
      <c r="D50" s="3">
        <v>0.01</v>
      </c>
      <c r="E50">
        <v>0</v>
      </c>
      <c r="F50">
        <v>20</v>
      </c>
      <c r="G50">
        <v>82617.596275881704</v>
      </c>
      <c r="H50">
        <v>4.8948125865165402</v>
      </c>
      <c r="I50">
        <v>0.16717669695736501</v>
      </c>
    </row>
    <row r="51" spans="1:15" x14ac:dyDescent="0.2">
      <c r="A51">
        <v>0</v>
      </c>
      <c r="B51" s="2">
        <v>42962.793523657405</v>
      </c>
      <c r="C51" t="s">
        <v>1</v>
      </c>
      <c r="D51" s="3">
        <v>0.01</v>
      </c>
      <c r="E51">
        <v>2.5000000000000001E-2</v>
      </c>
      <c r="F51">
        <v>20</v>
      </c>
      <c r="G51">
        <v>81199.889051229402</v>
      </c>
      <c r="H51">
        <v>4.5264035040752697</v>
      </c>
      <c r="I51">
        <v>0.16510710375669699</v>
      </c>
    </row>
    <row r="52" spans="1:15" x14ac:dyDescent="0.2">
      <c r="A52">
        <v>0</v>
      </c>
      <c r="B52" s="2">
        <v>42962.795801354165</v>
      </c>
      <c r="C52" t="s">
        <v>1</v>
      </c>
      <c r="D52" s="3">
        <v>0.01</v>
      </c>
      <c r="E52">
        <v>0.05</v>
      </c>
      <c r="F52">
        <v>20</v>
      </c>
      <c r="G52">
        <v>81857.603319913702</v>
      </c>
      <c r="H52">
        <v>5.0115869485881204</v>
      </c>
      <c r="I52">
        <v>0.16471671730498499</v>
      </c>
    </row>
    <row r="53" spans="1:15" x14ac:dyDescent="0.2">
      <c r="A53">
        <v>0</v>
      </c>
      <c r="B53" s="2">
        <v>42962.798088020834</v>
      </c>
      <c r="C53" t="s">
        <v>1</v>
      </c>
      <c r="D53" s="3">
        <v>0.01</v>
      </c>
      <c r="E53">
        <v>7.4999999999999997E-2</v>
      </c>
      <c r="F53">
        <v>20</v>
      </c>
      <c r="G53">
        <v>82391.279262973898</v>
      </c>
      <c r="H53">
        <v>4.45350950706215</v>
      </c>
      <c r="I53">
        <v>0.16477592519527101</v>
      </c>
    </row>
    <row r="54" spans="1:15" x14ac:dyDescent="0.2">
      <c r="A54">
        <v>0</v>
      </c>
      <c r="B54" s="2">
        <v>42962.800377708336</v>
      </c>
      <c r="C54" t="s">
        <v>1</v>
      </c>
      <c r="D54" s="3">
        <v>0.01</v>
      </c>
      <c r="E54">
        <v>0.1</v>
      </c>
      <c r="F54">
        <v>20</v>
      </c>
      <c r="G54">
        <v>83436.828513694796</v>
      </c>
      <c r="H54">
        <v>4.56442216222589</v>
      </c>
      <c r="I54">
        <v>0.165637666921674</v>
      </c>
    </row>
    <row r="55" spans="1:15" x14ac:dyDescent="0.2">
      <c r="A55">
        <v>0</v>
      </c>
      <c r="B55" s="2">
        <v>42962.802613796295</v>
      </c>
      <c r="C55" t="s">
        <v>1</v>
      </c>
      <c r="D55" s="3">
        <v>0.01</v>
      </c>
      <c r="E55">
        <v>0.15</v>
      </c>
      <c r="F55">
        <v>20</v>
      </c>
      <c r="G55">
        <v>84922.736359204602</v>
      </c>
      <c r="H55">
        <v>4.8290459442231297</v>
      </c>
      <c r="I55">
        <v>0.16443675792637499</v>
      </c>
    </row>
    <row r="56" spans="1:15" x14ac:dyDescent="0.2">
      <c r="A56">
        <v>0</v>
      </c>
      <c r="B56" s="2">
        <v>42962.804832326387</v>
      </c>
      <c r="C56" t="s">
        <v>1</v>
      </c>
      <c r="D56" s="3">
        <v>0.01</v>
      </c>
      <c r="E56">
        <v>0.2</v>
      </c>
      <c r="F56">
        <v>20</v>
      </c>
      <c r="G56">
        <v>84021.855140523796</v>
      </c>
      <c r="H56">
        <v>4.5427075456316404</v>
      </c>
      <c r="I56">
        <v>0.16473502723776101</v>
      </c>
    </row>
    <row r="57" spans="1:15" x14ac:dyDescent="0.2">
      <c r="A57">
        <v>0</v>
      </c>
      <c r="B57" s="2">
        <v>42962.807057118058</v>
      </c>
      <c r="C57" t="s">
        <v>1</v>
      </c>
      <c r="D57" s="3">
        <v>0.01</v>
      </c>
      <c r="E57">
        <v>0.25</v>
      </c>
      <c r="F57">
        <v>20</v>
      </c>
      <c r="G57">
        <v>84622.317898880501</v>
      </c>
      <c r="H57">
        <v>4.3218365850175404</v>
      </c>
      <c r="I57">
        <v>0.16508320939784701</v>
      </c>
    </row>
    <row r="58" spans="1:15" x14ac:dyDescent="0.2">
      <c r="A58">
        <v>0</v>
      </c>
      <c r="B58" s="2">
        <v>42962.810403842595</v>
      </c>
      <c r="C58" t="s">
        <v>1</v>
      </c>
      <c r="D58" s="3">
        <v>0.01</v>
      </c>
      <c r="E58">
        <v>0.3</v>
      </c>
      <c r="F58">
        <v>20</v>
      </c>
      <c r="G58">
        <v>86100.701696218894</v>
      </c>
      <c r="H58">
        <v>4.7200950346197104</v>
      </c>
      <c r="I58">
        <v>0.16725098080332401</v>
      </c>
    </row>
    <row r="59" spans="1:15" x14ac:dyDescent="0.2">
      <c r="A59">
        <v>0</v>
      </c>
      <c r="B59" s="2">
        <v>42962.972424976855</v>
      </c>
      <c r="C59" t="s">
        <v>1</v>
      </c>
      <c r="D59" s="3">
        <v>0.1</v>
      </c>
      <c r="E59">
        <v>0</v>
      </c>
      <c r="F59">
        <v>20</v>
      </c>
      <c r="G59">
        <v>846.73629417052803</v>
      </c>
      <c r="H59">
        <v>5.03793144949426</v>
      </c>
      <c r="I59">
        <v>0.164070210443928</v>
      </c>
    </row>
    <row r="60" spans="1:15" x14ac:dyDescent="0.2">
      <c r="A60">
        <v>0</v>
      </c>
      <c r="B60" s="2">
        <v>42962.97412457176</v>
      </c>
      <c r="C60" t="s">
        <v>1</v>
      </c>
      <c r="D60" s="3">
        <v>0.1</v>
      </c>
      <c r="E60">
        <v>2.5000000000000001E-2</v>
      </c>
      <c r="F60">
        <v>20</v>
      </c>
      <c r="G60">
        <v>801.26624228416404</v>
      </c>
      <c r="H60">
        <v>4.9731439234654902</v>
      </c>
      <c r="I60">
        <v>0.16367313184326601</v>
      </c>
    </row>
    <row r="61" spans="1:15" x14ac:dyDescent="0.2">
      <c r="A61">
        <v>0</v>
      </c>
      <c r="B61" s="2">
        <v>42962.975825451387</v>
      </c>
      <c r="C61" t="s">
        <v>1</v>
      </c>
      <c r="D61" s="3">
        <v>0.1</v>
      </c>
      <c r="E61">
        <v>0.05</v>
      </c>
      <c r="F61">
        <v>20</v>
      </c>
      <c r="G61">
        <v>773.63529026092601</v>
      </c>
      <c r="H61">
        <v>4.5725709951604303</v>
      </c>
      <c r="I61">
        <v>0.163907745192196</v>
      </c>
      <c r="N61" t="s">
        <v>3</v>
      </c>
      <c r="O61">
        <f>AVERAGE(I2:I28)</f>
        <v>0.11421719320050862</v>
      </c>
    </row>
    <row r="62" spans="1:15" x14ac:dyDescent="0.2">
      <c r="A62">
        <v>0</v>
      </c>
      <c r="B62" s="2">
        <v>42962.977530520831</v>
      </c>
      <c r="C62" t="s">
        <v>1</v>
      </c>
      <c r="D62" s="3">
        <v>0.1</v>
      </c>
      <c r="E62">
        <v>7.4999999999999997E-2</v>
      </c>
      <c r="F62">
        <v>20</v>
      </c>
      <c r="G62">
        <v>796.99892455018005</v>
      </c>
      <c r="H62">
        <v>4.8707643942076899</v>
      </c>
      <c r="I62">
        <v>0.16342541463132099</v>
      </c>
      <c r="N62" t="s">
        <v>4</v>
      </c>
      <c r="O62">
        <f>AVERAGE(I29:I49)</f>
        <v>0.16373389741285316</v>
      </c>
    </row>
    <row r="63" spans="1:15" x14ac:dyDescent="0.2">
      <c r="A63">
        <v>0</v>
      </c>
      <c r="B63" s="2">
        <v>42962.979232071761</v>
      </c>
      <c r="C63" t="s">
        <v>1</v>
      </c>
      <c r="D63" s="3">
        <v>0.1</v>
      </c>
      <c r="E63">
        <v>0.1</v>
      </c>
      <c r="F63">
        <v>20</v>
      </c>
      <c r="G63">
        <v>813.95781882226095</v>
      </c>
      <c r="H63">
        <v>4.8411255897844496</v>
      </c>
      <c r="I63">
        <v>0.16356439425368999</v>
      </c>
      <c r="N63" t="s">
        <v>1</v>
      </c>
      <c r="O63">
        <f>AVERAGE(I50:I70)</f>
        <v>0.16453242344922792</v>
      </c>
    </row>
    <row r="64" spans="1:15" x14ac:dyDescent="0.2">
      <c r="A64">
        <v>0</v>
      </c>
      <c r="B64" s="2">
        <v>42962.980935</v>
      </c>
      <c r="C64" t="s">
        <v>1</v>
      </c>
      <c r="D64" s="3">
        <v>0.1</v>
      </c>
      <c r="E64">
        <v>0.15</v>
      </c>
      <c r="F64">
        <v>20</v>
      </c>
      <c r="G64">
        <v>841.40914239731796</v>
      </c>
      <c r="H64">
        <v>4.8829932229684099</v>
      </c>
      <c r="I64">
        <v>0.163369507859841</v>
      </c>
      <c r="N64" t="s">
        <v>5</v>
      </c>
      <c r="O64">
        <f>AVERAGE(I71:I88)</f>
        <v>0.16755771222212315</v>
      </c>
    </row>
    <row r="65" spans="1:15" x14ac:dyDescent="0.2">
      <c r="A65">
        <v>0</v>
      </c>
      <c r="B65" s="2">
        <v>42963.028979513889</v>
      </c>
      <c r="C65" t="s">
        <v>1</v>
      </c>
      <c r="D65" s="3">
        <v>1</v>
      </c>
      <c r="E65">
        <v>0</v>
      </c>
      <c r="F65">
        <v>20</v>
      </c>
      <c r="G65">
        <v>8.7486576493539499</v>
      </c>
      <c r="H65">
        <v>2.7399209140434402</v>
      </c>
      <c r="I65">
        <v>0.16392384564346699</v>
      </c>
      <c r="N65" t="s">
        <v>0</v>
      </c>
      <c r="O65">
        <f>AVERAGE(I89:I106)</f>
        <v>0.16482555635880033</v>
      </c>
    </row>
    <row r="66" spans="1:15" x14ac:dyDescent="0.2">
      <c r="A66">
        <v>0</v>
      </c>
      <c r="B66" s="2">
        <v>42963.030790185185</v>
      </c>
      <c r="C66" t="s">
        <v>1</v>
      </c>
      <c r="D66" s="3">
        <v>1</v>
      </c>
      <c r="E66">
        <v>2.5000000000000001E-2</v>
      </c>
      <c r="F66">
        <v>20</v>
      </c>
      <c r="G66">
        <v>8.36281563020977</v>
      </c>
      <c r="H66">
        <v>2.9941812813303899</v>
      </c>
      <c r="I66">
        <v>0.16415912355048101</v>
      </c>
      <c r="N66" t="s">
        <v>2</v>
      </c>
      <c r="O66">
        <f>AVERAGE(I107:I124)</f>
        <v>0.10632153010736317</v>
      </c>
    </row>
    <row r="67" spans="1:15" x14ac:dyDescent="0.2">
      <c r="A67">
        <v>0</v>
      </c>
      <c r="B67" s="2">
        <v>42963.032548657407</v>
      </c>
      <c r="C67" t="s">
        <v>1</v>
      </c>
      <c r="D67" s="3">
        <v>1</v>
      </c>
      <c r="E67">
        <v>0.05</v>
      </c>
      <c r="F67">
        <v>20</v>
      </c>
      <c r="G67">
        <v>8.3086017433302697</v>
      </c>
      <c r="H67">
        <v>2.7397453764745401</v>
      </c>
      <c r="I67">
        <v>0.16351460522383199</v>
      </c>
    </row>
    <row r="68" spans="1:15" x14ac:dyDescent="0.2">
      <c r="A68">
        <v>0</v>
      </c>
      <c r="B68" s="2">
        <v>42963.034363784725</v>
      </c>
      <c r="C68" t="s">
        <v>1</v>
      </c>
      <c r="D68" s="3">
        <v>1</v>
      </c>
      <c r="E68">
        <v>7.4999999999999997E-2</v>
      </c>
      <c r="F68">
        <v>20</v>
      </c>
      <c r="G68">
        <v>8.5640840378232497</v>
      </c>
      <c r="H68">
        <v>2.8984472426154801</v>
      </c>
      <c r="I68">
        <v>0.16406273695408199</v>
      </c>
    </row>
    <row r="69" spans="1:15" x14ac:dyDescent="0.2">
      <c r="A69">
        <v>0</v>
      </c>
      <c r="B69" s="2">
        <v>42963.036179236115</v>
      </c>
      <c r="C69" t="s">
        <v>1</v>
      </c>
      <c r="D69" s="3">
        <v>1</v>
      </c>
      <c r="E69">
        <v>0.1</v>
      </c>
      <c r="F69">
        <v>20</v>
      </c>
      <c r="G69">
        <v>8.58424202783028</v>
      </c>
      <c r="H69">
        <v>2.67743122783379</v>
      </c>
      <c r="I69">
        <v>0.16444097061827301</v>
      </c>
    </row>
    <row r="70" spans="1:15" x14ac:dyDescent="0.2">
      <c r="A70">
        <v>0</v>
      </c>
      <c r="B70" s="2">
        <v>42963.038014895836</v>
      </c>
      <c r="C70" t="s">
        <v>1</v>
      </c>
      <c r="D70" s="3">
        <v>1</v>
      </c>
      <c r="E70">
        <v>0.15</v>
      </c>
      <c r="F70">
        <v>20</v>
      </c>
      <c r="G70">
        <v>8.77701557157223</v>
      </c>
      <c r="H70">
        <v>2.6167934544158702</v>
      </c>
      <c r="I70">
        <v>0.16414912071811</v>
      </c>
    </row>
    <row r="71" spans="1:15" x14ac:dyDescent="0.2">
      <c r="A71">
        <v>0</v>
      </c>
      <c r="B71" s="2">
        <v>42964.697497465277</v>
      </c>
      <c r="C71" t="s">
        <v>5</v>
      </c>
      <c r="D71" s="3">
        <v>0.01</v>
      </c>
      <c r="E71">
        <v>0</v>
      </c>
      <c r="F71">
        <v>20</v>
      </c>
      <c r="G71">
        <v>85096.174255723396</v>
      </c>
      <c r="H71">
        <v>8.6252949618789199</v>
      </c>
      <c r="I71">
        <v>0.16499198969644599</v>
      </c>
    </row>
    <row r="72" spans="1:15" x14ac:dyDescent="0.2">
      <c r="A72">
        <v>0</v>
      </c>
      <c r="B72" s="2">
        <v>42964.779276944442</v>
      </c>
      <c r="C72" t="s">
        <v>5</v>
      </c>
      <c r="D72" s="3">
        <v>0.01</v>
      </c>
      <c r="E72">
        <v>2.5000000000000001E-2</v>
      </c>
      <c r="F72">
        <v>20</v>
      </c>
      <c r="G72">
        <v>84445.870638220498</v>
      </c>
      <c r="H72">
        <v>8.5841356026003801</v>
      </c>
      <c r="I72">
        <v>0.16682649292736801</v>
      </c>
    </row>
    <row r="73" spans="1:15" x14ac:dyDescent="0.2">
      <c r="A73">
        <v>0</v>
      </c>
      <c r="B73" s="2">
        <v>42964.861091168983</v>
      </c>
      <c r="C73" t="s">
        <v>5</v>
      </c>
      <c r="D73" s="3">
        <v>0.01</v>
      </c>
      <c r="E73">
        <v>0.05</v>
      </c>
      <c r="F73">
        <v>20</v>
      </c>
      <c r="G73">
        <v>84327.947468208906</v>
      </c>
      <c r="H73">
        <v>8.6063902515394393</v>
      </c>
      <c r="I73">
        <v>0.16677870119511601</v>
      </c>
    </row>
    <row r="74" spans="1:15" x14ac:dyDescent="0.2">
      <c r="A74">
        <v>0</v>
      </c>
      <c r="B74" s="2">
        <v>42964.942908425925</v>
      </c>
      <c r="C74" t="s">
        <v>5</v>
      </c>
      <c r="D74" s="3">
        <v>0.01</v>
      </c>
      <c r="E74">
        <v>7.4999999999999997E-2</v>
      </c>
      <c r="F74">
        <v>20</v>
      </c>
      <c r="G74">
        <v>84201.5181255606</v>
      </c>
      <c r="H74">
        <v>8.5886897438856007</v>
      </c>
      <c r="I74">
        <v>0.16677725564460999</v>
      </c>
    </row>
    <row r="75" spans="1:15" x14ac:dyDescent="0.2">
      <c r="A75">
        <v>0</v>
      </c>
      <c r="B75" s="2">
        <v>42965.024700173613</v>
      </c>
      <c r="C75" t="s">
        <v>5</v>
      </c>
      <c r="D75" s="3">
        <v>0.01</v>
      </c>
      <c r="E75">
        <v>0.1</v>
      </c>
      <c r="F75">
        <v>20</v>
      </c>
      <c r="G75">
        <v>84373.6912054196</v>
      </c>
      <c r="H75">
        <v>8.6195249597634795</v>
      </c>
      <c r="I75">
        <v>0.16676988830838499</v>
      </c>
    </row>
    <row r="76" spans="1:15" x14ac:dyDescent="0.2">
      <c r="A76">
        <v>0</v>
      </c>
      <c r="B76" s="2">
        <v>42965.106985162034</v>
      </c>
      <c r="C76" t="s">
        <v>5</v>
      </c>
      <c r="D76" s="3">
        <v>0.01</v>
      </c>
      <c r="E76">
        <v>0.15</v>
      </c>
      <c r="F76">
        <v>20</v>
      </c>
      <c r="G76">
        <v>85400.302532342903</v>
      </c>
      <c r="H76">
        <v>8.4335970639809901</v>
      </c>
      <c r="I76">
        <v>0.16641674302461501</v>
      </c>
    </row>
    <row r="77" spans="1:15" x14ac:dyDescent="0.2">
      <c r="A77">
        <v>0</v>
      </c>
      <c r="B77" s="2">
        <v>42965.203371400465</v>
      </c>
      <c r="C77" t="s">
        <v>5</v>
      </c>
      <c r="D77" s="3">
        <v>0.1</v>
      </c>
      <c r="E77">
        <v>0</v>
      </c>
      <c r="F77">
        <v>20</v>
      </c>
      <c r="G77">
        <v>840.85398933991405</v>
      </c>
      <c r="H77">
        <v>8.5666158673523007</v>
      </c>
      <c r="I77">
        <v>0.16587283669512901</v>
      </c>
    </row>
    <row r="78" spans="1:15" x14ac:dyDescent="0.2">
      <c r="A78">
        <v>0</v>
      </c>
      <c r="B78" s="2">
        <v>42965.284457511574</v>
      </c>
      <c r="C78" t="s">
        <v>5</v>
      </c>
      <c r="D78" s="3">
        <v>0.1</v>
      </c>
      <c r="E78">
        <v>2.5000000000000001E-2</v>
      </c>
      <c r="F78">
        <v>20</v>
      </c>
      <c r="G78">
        <v>840.56956455034799</v>
      </c>
      <c r="H78">
        <v>8.60240265014348</v>
      </c>
      <c r="I78">
        <v>0.165773380419934</v>
      </c>
    </row>
    <row r="79" spans="1:15" x14ac:dyDescent="0.2">
      <c r="A79">
        <v>0</v>
      </c>
      <c r="B79" s="2">
        <v>42965.365616712967</v>
      </c>
      <c r="C79" t="s">
        <v>5</v>
      </c>
      <c r="D79" s="3">
        <v>0.1</v>
      </c>
      <c r="E79">
        <v>0.05</v>
      </c>
      <c r="F79">
        <v>20</v>
      </c>
      <c r="G79">
        <v>837.72624376935801</v>
      </c>
      <c r="H79">
        <v>8.6535389606920603</v>
      </c>
      <c r="I79">
        <v>0.16577240863595899</v>
      </c>
    </row>
    <row r="80" spans="1:15" x14ac:dyDescent="0.2">
      <c r="A80">
        <v>0</v>
      </c>
      <c r="B80" s="2">
        <v>42965.446784050924</v>
      </c>
      <c r="C80" t="s">
        <v>5</v>
      </c>
      <c r="D80" s="3">
        <v>0.1</v>
      </c>
      <c r="E80">
        <v>7.4999999999999997E-2</v>
      </c>
      <c r="F80">
        <v>20</v>
      </c>
      <c r="G80">
        <v>839.06369045222698</v>
      </c>
      <c r="H80">
        <v>8.4791900537787601</v>
      </c>
      <c r="I80">
        <v>0.16585642081136501</v>
      </c>
    </row>
    <row r="81" spans="1:9" x14ac:dyDescent="0.2">
      <c r="A81">
        <v>0</v>
      </c>
      <c r="B81" s="2">
        <v>42965.530869236114</v>
      </c>
      <c r="C81" t="s">
        <v>5</v>
      </c>
      <c r="D81" s="3">
        <v>0.1</v>
      </c>
      <c r="E81">
        <v>0.1</v>
      </c>
      <c r="F81">
        <v>20</v>
      </c>
      <c r="G81">
        <v>845.34298588607203</v>
      </c>
      <c r="H81">
        <v>8.4904987653224602</v>
      </c>
      <c r="I81">
        <v>0.164373817223295</v>
      </c>
    </row>
    <row r="82" spans="1:9" x14ac:dyDescent="0.2">
      <c r="A82">
        <v>0</v>
      </c>
      <c r="B82" s="2">
        <v>42965.61298510417</v>
      </c>
      <c r="C82" t="s">
        <v>5</v>
      </c>
      <c r="D82" s="3">
        <v>0.1</v>
      </c>
      <c r="E82">
        <v>0.15</v>
      </c>
      <c r="F82">
        <v>20</v>
      </c>
      <c r="G82">
        <v>847.27192076694303</v>
      </c>
      <c r="H82">
        <v>8.4368183361826699</v>
      </c>
      <c r="I82">
        <v>0.16381241858069201</v>
      </c>
    </row>
    <row r="83" spans="1:9" x14ac:dyDescent="0.2">
      <c r="A83">
        <v>0</v>
      </c>
      <c r="B83" s="2">
        <v>42965.749551631947</v>
      </c>
      <c r="C83" t="s">
        <v>5</v>
      </c>
      <c r="D83" s="3">
        <v>1</v>
      </c>
      <c r="E83">
        <v>0</v>
      </c>
      <c r="F83">
        <v>20</v>
      </c>
      <c r="G83">
        <v>9.0573236561166794</v>
      </c>
      <c r="H83">
        <v>2.7820896752931401</v>
      </c>
      <c r="I83">
        <v>0.170148549717239</v>
      </c>
    </row>
    <row r="84" spans="1:9" x14ac:dyDescent="0.2">
      <c r="A84">
        <v>0</v>
      </c>
      <c r="B84" s="2">
        <v>42965.830295011576</v>
      </c>
      <c r="C84" t="s">
        <v>5</v>
      </c>
      <c r="D84" s="3">
        <v>1</v>
      </c>
      <c r="E84">
        <v>2.5000000000000001E-2</v>
      </c>
      <c r="F84">
        <v>20</v>
      </c>
      <c r="G84">
        <v>8.9844995821979996</v>
      </c>
      <c r="H84">
        <v>2.79364832323476</v>
      </c>
      <c r="I84">
        <v>0.17002506662297001</v>
      </c>
    </row>
    <row r="85" spans="1:9" x14ac:dyDescent="0.2">
      <c r="A85">
        <v>0</v>
      </c>
      <c r="B85" s="2">
        <v>42965.910195358796</v>
      </c>
      <c r="C85" t="s">
        <v>5</v>
      </c>
      <c r="D85" s="3">
        <v>1</v>
      </c>
      <c r="E85">
        <v>0.05</v>
      </c>
      <c r="F85">
        <v>20</v>
      </c>
      <c r="G85">
        <v>8.9653592499461396</v>
      </c>
      <c r="H85">
        <v>2.7602650408291201</v>
      </c>
      <c r="I85">
        <v>0.17017852698863001</v>
      </c>
    </row>
    <row r="86" spans="1:9" x14ac:dyDescent="0.2">
      <c r="A86">
        <v>0</v>
      </c>
      <c r="B86" s="2">
        <v>42965.991527847225</v>
      </c>
      <c r="C86" t="s">
        <v>5</v>
      </c>
      <c r="D86" s="3">
        <v>1</v>
      </c>
      <c r="E86">
        <v>7.4999999999999997E-2</v>
      </c>
      <c r="F86">
        <v>20</v>
      </c>
      <c r="G86">
        <v>9.0221934281455791</v>
      </c>
      <c r="H86">
        <v>2.7823372201767</v>
      </c>
      <c r="I86">
        <v>0.17035416507760401</v>
      </c>
    </row>
    <row r="87" spans="1:9" x14ac:dyDescent="0.2">
      <c r="A87">
        <v>0</v>
      </c>
      <c r="B87" s="2">
        <v>42966.07946158565</v>
      </c>
      <c r="C87" t="s">
        <v>5</v>
      </c>
      <c r="D87" s="3">
        <v>1</v>
      </c>
      <c r="E87">
        <v>0.1</v>
      </c>
      <c r="F87">
        <v>20</v>
      </c>
      <c r="G87">
        <v>9.0605935859622306</v>
      </c>
      <c r="H87">
        <v>2.78895988689681</v>
      </c>
      <c r="I87">
        <v>0.17283409388828599</v>
      </c>
    </row>
    <row r="88" spans="1:9" x14ac:dyDescent="0.2">
      <c r="A88">
        <v>0</v>
      </c>
      <c r="B88" s="2">
        <v>42966.159887210648</v>
      </c>
      <c r="C88" t="s">
        <v>5</v>
      </c>
      <c r="D88" s="3">
        <v>1</v>
      </c>
      <c r="E88">
        <v>0.15</v>
      </c>
      <c r="F88">
        <v>20</v>
      </c>
      <c r="G88">
        <v>9.1057299105844791</v>
      </c>
      <c r="H88">
        <v>2.7566135689917299</v>
      </c>
      <c r="I88">
        <v>0.17247606454057399</v>
      </c>
    </row>
    <row r="89" spans="1:9" x14ac:dyDescent="0.2">
      <c r="A89">
        <v>0</v>
      </c>
      <c r="B89" s="2">
        <v>42969.214127847219</v>
      </c>
      <c r="C89" t="s">
        <v>0</v>
      </c>
      <c r="D89" s="3">
        <v>0.01</v>
      </c>
      <c r="E89">
        <v>0</v>
      </c>
      <c r="F89">
        <v>20</v>
      </c>
      <c r="G89">
        <v>84572.399434802806</v>
      </c>
      <c r="H89">
        <v>9.2522040668342207</v>
      </c>
      <c r="I89">
        <v>0.16045057552080499</v>
      </c>
    </row>
    <row r="90" spans="1:9" x14ac:dyDescent="0.2">
      <c r="A90">
        <v>0</v>
      </c>
      <c r="B90" s="2">
        <v>42969.405448275465</v>
      </c>
      <c r="C90" t="s">
        <v>0</v>
      </c>
      <c r="D90" s="3">
        <v>0.01</v>
      </c>
      <c r="E90">
        <v>2.5000000000000001E-2</v>
      </c>
      <c r="F90">
        <v>20</v>
      </c>
      <c r="G90">
        <v>84457.239677828402</v>
      </c>
      <c r="H90">
        <v>9.1819283054949903</v>
      </c>
      <c r="I90">
        <v>0.15968384659688101</v>
      </c>
    </row>
    <row r="91" spans="1:9" x14ac:dyDescent="0.2">
      <c r="A91">
        <v>0</v>
      </c>
      <c r="B91" s="2">
        <v>42970.049763425923</v>
      </c>
      <c r="C91" t="s">
        <v>0</v>
      </c>
      <c r="D91" s="3">
        <v>0.01</v>
      </c>
      <c r="E91">
        <v>0.05</v>
      </c>
      <c r="F91">
        <v>20</v>
      </c>
      <c r="G91">
        <v>84214.132737635795</v>
      </c>
      <c r="H91">
        <v>9.16107244425476</v>
      </c>
      <c r="I91">
        <v>0.15960677113475299</v>
      </c>
    </row>
    <row r="92" spans="1:9" x14ac:dyDescent="0.2">
      <c r="A92">
        <v>0</v>
      </c>
      <c r="B92" s="2">
        <v>42970.250377222219</v>
      </c>
      <c r="C92" t="s">
        <v>0</v>
      </c>
      <c r="D92" s="3">
        <v>0.01</v>
      </c>
      <c r="E92">
        <v>7.4999999999999997E-2</v>
      </c>
      <c r="F92">
        <v>20</v>
      </c>
      <c r="G92">
        <v>84317.924719355098</v>
      </c>
      <c r="H92">
        <v>9.1457208687053004</v>
      </c>
      <c r="I92">
        <v>0.15995102091944099</v>
      </c>
    </row>
    <row r="93" spans="1:9" x14ac:dyDescent="0.2">
      <c r="A93">
        <v>0</v>
      </c>
      <c r="B93" s="2">
        <v>42970.513861620369</v>
      </c>
      <c r="C93" t="s">
        <v>0</v>
      </c>
      <c r="D93" s="3">
        <v>0.01</v>
      </c>
      <c r="E93">
        <v>0.1</v>
      </c>
      <c r="F93">
        <v>20</v>
      </c>
      <c r="G93">
        <v>84438.057284636699</v>
      </c>
      <c r="H93">
        <v>9.0675864437482101</v>
      </c>
      <c r="I93">
        <v>0.16002082741934601</v>
      </c>
    </row>
    <row r="94" spans="1:9" x14ac:dyDescent="0.2">
      <c r="A94">
        <v>0</v>
      </c>
      <c r="B94" s="2">
        <v>42970.720742199075</v>
      </c>
      <c r="C94" t="s">
        <v>0</v>
      </c>
      <c r="D94" s="3">
        <v>0.01</v>
      </c>
      <c r="E94">
        <v>0.15</v>
      </c>
      <c r="F94">
        <v>20</v>
      </c>
      <c r="G94">
        <v>85253.978940555404</v>
      </c>
      <c r="H94">
        <v>9.0093970610140097</v>
      </c>
      <c r="I94">
        <v>0.159113894574888</v>
      </c>
    </row>
    <row r="95" spans="1:9" x14ac:dyDescent="0.2">
      <c r="A95">
        <v>0</v>
      </c>
      <c r="B95" s="2">
        <v>42967.747689293981</v>
      </c>
      <c r="C95" t="s">
        <v>0</v>
      </c>
      <c r="D95" s="3">
        <v>0.1</v>
      </c>
      <c r="E95">
        <v>0</v>
      </c>
      <c r="F95">
        <v>20</v>
      </c>
      <c r="G95">
        <v>841.26640152192101</v>
      </c>
      <c r="H95">
        <v>8.81308789073322</v>
      </c>
      <c r="I95">
        <v>0.162715231849558</v>
      </c>
    </row>
    <row r="96" spans="1:9" x14ac:dyDescent="0.2">
      <c r="A96">
        <v>0</v>
      </c>
      <c r="B96" s="2">
        <v>42967.936376041667</v>
      </c>
      <c r="C96" t="s">
        <v>0</v>
      </c>
      <c r="D96" s="3">
        <v>0.1</v>
      </c>
      <c r="E96">
        <v>2.5000000000000001E-2</v>
      </c>
      <c r="F96">
        <v>20</v>
      </c>
      <c r="G96">
        <v>839.37245632255099</v>
      </c>
      <c r="H96">
        <v>8.7192258561584701</v>
      </c>
      <c r="I96">
        <v>0.163116151775344</v>
      </c>
    </row>
    <row r="97" spans="1:9" x14ac:dyDescent="0.2">
      <c r="A97">
        <v>0</v>
      </c>
      <c r="B97" s="2">
        <v>42968.129506249999</v>
      </c>
      <c r="C97" t="s">
        <v>0</v>
      </c>
      <c r="D97" s="3">
        <v>0.1</v>
      </c>
      <c r="E97">
        <v>0.05</v>
      </c>
      <c r="F97">
        <v>20</v>
      </c>
      <c r="G97">
        <v>837.08358334102104</v>
      </c>
      <c r="H97">
        <v>8.6639101880693801</v>
      </c>
      <c r="I97">
        <v>0.162882609598337</v>
      </c>
    </row>
    <row r="98" spans="1:9" x14ac:dyDescent="0.2">
      <c r="A98">
        <v>0</v>
      </c>
      <c r="B98" s="2">
        <v>42968.318962951387</v>
      </c>
      <c r="C98" t="s">
        <v>0</v>
      </c>
      <c r="D98" s="3">
        <v>0.1</v>
      </c>
      <c r="E98">
        <v>7.4999999999999997E-2</v>
      </c>
      <c r="F98">
        <v>20</v>
      </c>
      <c r="G98">
        <v>840.42278354445602</v>
      </c>
      <c r="H98">
        <v>8.6340310424142093</v>
      </c>
      <c r="I98">
        <v>0.163120974328298</v>
      </c>
    </row>
    <row r="99" spans="1:9" x14ac:dyDescent="0.2">
      <c r="A99">
        <v>0</v>
      </c>
      <c r="B99" s="2">
        <v>42968.509424016207</v>
      </c>
      <c r="C99" t="s">
        <v>0</v>
      </c>
      <c r="D99" s="3">
        <v>0.1</v>
      </c>
      <c r="E99">
        <v>0.1</v>
      </c>
      <c r="F99">
        <v>20</v>
      </c>
      <c r="G99">
        <v>843.52301753790198</v>
      </c>
      <c r="H99">
        <v>8.6109688665111506</v>
      </c>
      <c r="I99">
        <v>0.16286366173626901</v>
      </c>
    </row>
    <row r="100" spans="1:9" x14ac:dyDescent="0.2">
      <c r="A100">
        <v>0</v>
      </c>
      <c r="B100" s="2">
        <v>42968.707648703705</v>
      </c>
      <c r="C100" t="s">
        <v>0</v>
      </c>
      <c r="D100" s="3">
        <v>0.1</v>
      </c>
      <c r="E100">
        <v>0.15</v>
      </c>
      <c r="F100">
        <v>20</v>
      </c>
      <c r="G100">
        <v>849.54551367244403</v>
      </c>
      <c r="H100">
        <v>8.5935086779478294</v>
      </c>
      <c r="I100">
        <v>0.162177656781791</v>
      </c>
    </row>
    <row r="101" spans="1:9" x14ac:dyDescent="0.2">
      <c r="A101">
        <v>0</v>
      </c>
      <c r="B101" s="2">
        <v>42966.348337685187</v>
      </c>
      <c r="C101" t="s">
        <v>0</v>
      </c>
      <c r="D101" s="3">
        <v>1</v>
      </c>
      <c r="E101">
        <v>0</v>
      </c>
      <c r="F101">
        <v>20</v>
      </c>
      <c r="G101">
        <v>9.0480592858007594</v>
      </c>
      <c r="H101">
        <v>2.8307725131088</v>
      </c>
      <c r="I101">
        <v>0.17202557619758299</v>
      </c>
    </row>
    <row r="102" spans="1:9" x14ac:dyDescent="0.2">
      <c r="A102">
        <v>0</v>
      </c>
      <c r="B102" s="2">
        <v>42966.525095243058</v>
      </c>
      <c r="C102" t="s">
        <v>0</v>
      </c>
      <c r="D102" s="3">
        <v>1</v>
      </c>
      <c r="E102">
        <v>2.5000000000000001E-2</v>
      </c>
      <c r="F102">
        <v>20</v>
      </c>
      <c r="G102">
        <v>9.0335550740123693</v>
      </c>
      <c r="H102">
        <v>2.8081748030840301</v>
      </c>
      <c r="I102">
        <v>0.17182823849148801</v>
      </c>
    </row>
    <row r="103" spans="1:9" x14ac:dyDescent="0.2">
      <c r="A103">
        <v>0</v>
      </c>
      <c r="B103" s="2">
        <v>42966.701946215275</v>
      </c>
      <c r="C103" t="s">
        <v>0</v>
      </c>
      <c r="D103" s="3">
        <v>1</v>
      </c>
      <c r="E103">
        <v>0.05</v>
      </c>
      <c r="F103">
        <v>20</v>
      </c>
      <c r="G103">
        <v>9.0125190780620592</v>
      </c>
      <c r="H103">
        <v>2.80556120776837</v>
      </c>
      <c r="I103">
        <v>0.171833579464713</v>
      </c>
    </row>
    <row r="104" spans="1:9" x14ac:dyDescent="0.2">
      <c r="A104">
        <v>0</v>
      </c>
      <c r="B104" s="2">
        <v>42966.87924790509</v>
      </c>
      <c r="C104" t="s">
        <v>0</v>
      </c>
      <c r="D104" s="3">
        <v>1</v>
      </c>
      <c r="E104">
        <v>7.4999999999999997E-2</v>
      </c>
      <c r="F104">
        <v>20</v>
      </c>
      <c r="G104">
        <v>9.0866417234665295</v>
      </c>
      <c r="H104">
        <v>2.8079393631311902</v>
      </c>
      <c r="I104">
        <v>0.17179645798813001</v>
      </c>
    </row>
    <row r="105" spans="1:9" x14ac:dyDescent="0.2">
      <c r="A105">
        <v>0</v>
      </c>
      <c r="B105" s="2">
        <v>42967.059617638886</v>
      </c>
      <c r="C105" t="s">
        <v>0</v>
      </c>
      <c r="D105" s="3">
        <v>1</v>
      </c>
      <c r="E105">
        <v>0.1</v>
      </c>
      <c r="F105">
        <v>20</v>
      </c>
      <c r="G105">
        <v>9.1053838952469501</v>
      </c>
      <c r="H105">
        <v>2.8046022526209899</v>
      </c>
      <c r="I105">
        <v>0.17167461718188601</v>
      </c>
    </row>
    <row r="106" spans="1:9" x14ac:dyDescent="0.2">
      <c r="A106">
        <v>0</v>
      </c>
      <c r="B106" s="2">
        <v>42967.236867997686</v>
      </c>
      <c r="C106" t="s">
        <v>0</v>
      </c>
      <c r="D106" s="3">
        <v>1</v>
      </c>
      <c r="E106">
        <v>0.15</v>
      </c>
      <c r="F106">
        <v>20</v>
      </c>
      <c r="G106">
        <v>9.1818351616020006</v>
      </c>
      <c r="H106">
        <v>2.7943626329375899</v>
      </c>
      <c r="I106">
        <v>0.171998322898895</v>
      </c>
    </row>
    <row r="107" spans="1:9" x14ac:dyDescent="0.2">
      <c r="A107">
        <v>0</v>
      </c>
      <c r="B107" s="2">
        <v>42963.773724131941</v>
      </c>
      <c r="C107" t="s">
        <v>2</v>
      </c>
      <c r="D107" s="3">
        <v>0.01</v>
      </c>
      <c r="E107">
        <v>0</v>
      </c>
      <c r="F107">
        <v>20</v>
      </c>
      <c r="G107">
        <v>85300.434412023606</v>
      </c>
      <c r="H107">
        <v>0.71141352290214099</v>
      </c>
      <c r="I107">
        <v>0.110450232319019</v>
      </c>
    </row>
    <row r="108" spans="1:9" x14ac:dyDescent="0.2">
      <c r="A108">
        <v>0</v>
      </c>
      <c r="B108" s="2">
        <v>42963.799017754631</v>
      </c>
      <c r="C108" t="s">
        <v>2</v>
      </c>
      <c r="D108" s="3">
        <v>0.01</v>
      </c>
      <c r="E108">
        <v>2.5000000000000001E-2</v>
      </c>
      <c r="F108">
        <v>20</v>
      </c>
      <c r="G108">
        <v>84731.038897036604</v>
      </c>
      <c r="H108">
        <v>0.73724801847100396</v>
      </c>
      <c r="I108">
        <v>0.110669211926711</v>
      </c>
    </row>
    <row r="109" spans="1:9" x14ac:dyDescent="0.2">
      <c r="A109">
        <v>0</v>
      </c>
      <c r="B109" s="2">
        <v>42963.820614201388</v>
      </c>
      <c r="C109" t="s">
        <v>2</v>
      </c>
      <c r="D109" s="3">
        <v>0.01</v>
      </c>
      <c r="E109">
        <v>0.05</v>
      </c>
      <c r="F109">
        <v>20</v>
      </c>
      <c r="G109">
        <v>84162.688800902295</v>
      </c>
      <c r="H109">
        <v>0.66631526825370802</v>
      </c>
      <c r="I109">
        <v>0.108012824227677</v>
      </c>
    </row>
    <row r="110" spans="1:9" x14ac:dyDescent="0.2">
      <c r="A110">
        <v>0</v>
      </c>
      <c r="B110" s="2">
        <v>42963.841447141203</v>
      </c>
      <c r="C110" t="s">
        <v>2</v>
      </c>
      <c r="D110" s="3">
        <v>0.01</v>
      </c>
      <c r="E110">
        <v>7.4999999999999997E-2</v>
      </c>
      <c r="F110">
        <v>20</v>
      </c>
      <c r="G110">
        <v>83888.578739966004</v>
      </c>
      <c r="H110">
        <v>0.70365822767638897</v>
      </c>
      <c r="I110">
        <v>0.10576603718309401</v>
      </c>
    </row>
    <row r="111" spans="1:9" x14ac:dyDescent="0.2">
      <c r="A111">
        <v>0</v>
      </c>
      <c r="B111" s="2">
        <v>42963.862329525466</v>
      </c>
      <c r="C111" t="s">
        <v>2</v>
      </c>
      <c r="D111" s="3">
        <v>0.01</v>
      </c>
      <c r="E111">
        <v>0.1</v>
      </c>
      <c r="F111">
        <v>20</v>
      </c>
      <c r="G111">
        <v>84568.204692255196</v>
      </c>
      <c r="H111">
        <v>0.64280095100870405</v>
      </c>
      <c r="I111">
        <v>0.105644520039314</v>
      </c>
    </row>
    <row r="112" spans="1:9" x14ac:dyDescent="0.2">
      <c r="A112">
        <v>0</v>
      </c>
      <c r="B112" s="2">
        <v>42963.883229953703</v>
      </c>
      <c r="C112" t="s">
        <v>2</v>
      </c>
      <c r="D112" s="3">
        <v>0.01</v>
      </c>
      <c r="E112">
        <v>0.15</v>
      </c>
      <c r="F112">
        <v>20</v>
      </c>
      <c r="G112">
        <v>84966.4340082329</v>
      </c>
      <c r="H112">
        <v>0.60365524231131795</v>
      </c>
      <c r="I112">
        <v>0.10550259471012099</v>
      </c>
    </row>
    <row r="113" spans="1:9" x14ac:dyDescent="0.2">
      <c r="A113">
        <v>0</v>
      </c>
      <c r="B113" s="2">
        <v>42963.549193449071</v>
      </c>
      <c r="C113" t="s">
        <v>2</v>
      </c>
      <c r="D113" s="3">
        <v>0.1</v>
      </c>
      <c r="E113">
        <v>0</v>
      </c>
      <c r="F113">
        <v>20</v>
      </c>
      <c r="G113">
        <v>832.552492195284</v>
      </c>
      <c r="H113">
        <v>0.69781368547945399</v>
      </c>
      <c r="I113">
        <v>0.10663869067751899</v>
      </c>
    </row>
    <row r="114" spans="1:9" x14ac:dyDescent="0.2">
      <c r="A114">
        <v>0</v>
      </c>
      <c r="B114" s="2">
        <v>42963.570752094907</v>
      </c>
      <c r="C114" t="s">
        <v>2</v>
      </c>
      <c r="D114" s="3">
        <v>0.1</v>
      </c>
      <c r="E114">
        <v>2.5000000000000001E-2</v>
      </c>
      <c r="F114">
        <v>20</v>
      </c>
      <c r="G114">
        <v>829.75655994790202</v>
      </c>
      <c r="H114">
        <v>0.78350793379843897</v>
      </c>
      <c r="I114">
        <v>0.10650454210372801</v>
      </c>
    </row>
    <row r="115" spans="1:9" x14ac:dyDescent="0.2">
      <c r="A115">
        <v>0</v>
      </c>
      <c r="B115" s="2">
        <v>42963.592205185189</v>
      </c>
      <c r="C115" t="s">
        <v>2</v>
      </c>
      <c r="D115" s="3">
        <v>0.1</v>
      </c>
      <c r="E115">
        <v>0.05</v>
      </c>
      <c r="F115">
        <v>20</v>
      </c>
      <c r="G115">
        <v>828.76480672973798</v>
      </c>
      <c r="H115">
        <v>0.681435740445129</v>
      </c>
      <c r="I115">
        <v>0.107062993128647</v>
      </c>
    </row>
    <row r="116" spans="1:9" x14ac:dyDescent="0.2">
      <c r="A116">
        <v>0</v>
      </c>
      <c r="B116" s="2">
        <v>42963.61322402778</v>
      </c>
      <c r="C116" t="s">
        <v>2</v>
      </c>
      <c r="D116" s="3">
        <v>0.1</v>
      </c>
      <c r="E116">
        <v>7.4999999999999997E-2</v>
      </c>
      <c r="F116">
        <v>20</v>
      </c>
      <c r="G116">
        <v>827.77371471034496</v>
      </c>
      <c r="H116">
        <v>0.70822476686597702</v>
      </c>
      <c r="I116">
        <v>0.10560073231730099</v>
      </c>
    </row>
    <row r="117" spans="1:9" x14ac:dyDescent="0.2">
      <c r="A117">
        <v>0</v>
      </c>
      <c r="B117" s="2">
        <v>42963.634195844905</v>
      </c>
      <c r="C117" t="s">
        <v>2</v>
      </c>
      <c r="D117" s="3">
        <v>0.1</v>
      </c>
      <c r="E117">
        <v>0.1</v>
      </c>
      <c r="F117">
        <v>20</v>
      </c>
      <c r="G117">
        <v>832.26728769646002</v>
      </c>
      <c r="H117">
        <v>0.73488486424008304</v>
      </c>
      <c r="I117">
        <v>0.105405786221796</v>
      </c>
    </row>
    <row r="118" spans="1:9" x14ac:dyDescent="0.2">
      <c r="A118">
        <v>0</v>
      </c>
      <c r="B118" s="2">
        <v>42963.655126898149</v>
      </c>
      <c r="C118" t="s">
        <v>2</v>
      </c>
      <c r="D118" s="3">
        <v>0.1</v>
      </c>
      <c r="E118">
        <v>0.15</v>
      </c>
      <c r="F118">
        <v>20</v>
      </c>
      <c r="G118">
        <v>836.75547808973499</v>
      </c>
      <c r="H118">
        <v>0.74732551890457799</v>
      </c>
      <c r="I118">
        <v>0.105568374406889</v>
      </c>
    </row>
    <row r="119" spans="1:9" x14ac:dyDescent="0.2">
      <c r="A119">
        <v>0</v>
      </c>
      <c r="B119" s="2">
        <v>42963.388028252317</v>
      </c>
      <c r="C119" t="s">
        <v>2</v>
      </c>
      <c r="D119" s="3">
        <v>1</v>
      </c>
      <c r="E119">
        <v>0</v>
      </c>
      <c r="F119">
        <v>20</v>
      </c>
      <c r="G119">
        <v>9.0035987549534102</v>
      </c>
      <c r="H119">
        <v>0.97837712025216605</v>
      </c>
      <c r="I119">
        <v>0.10513791890037601</v>
      </c>
    </row>
    <row r="120" spans="1:9" x14ac:dyDescent="0.2">
      <c r="A120">
        <v>0</v>
      </c>
      <c r="B120" s="2">
        <v>42963.412853622685</v>
      </c>
      <c r="C120" t="s">
        <v>2</v>
      </c>
      <c r="D120" s="3">
        <v>1</v>
      </c>
      <c r="E120">
        <v>2.5000000000000001E-2</v>
      </c>
      <c r="F120">
        <v>20</v>
      </c>
      <c r="G120">
        <v>8.8439215673761495</v>
      </c>
      <c r="H120">
        <v>1.0290416160042299</v>
      </c>
      <c r="I120">
        <v>0.10542981149323299</v>
      </c>
    </row>
    <row r="121" spans="1:9" x14ac:dyDescent="0.2">
      <c r="A121">
        <v>0</v>
      </c>
      <c r="B121" s="2">
        <v>42963.434797453701</v>
      </c>
      <c r="C121" t="s">
        <v>2</v>
      </c>
      <c r="D121" s="3">
        <v>1</v>
      </c>
      <c r="E121">
        <v>0.05</v>
      </c>
      <c r="F121">
        <v>20</v>
      </c>
      <c r="G121">
        <v>8.7611412441751302</v>
      </c>
      <c r="H121">
        <v>1.04622464989284</v>
      </c>
      <c r="I121">
        <v>0.104619142364833</v>
      </c>
    </row>
    <row r="122" spans="1:9" x14ac:dyDescent="0.2">
      <c r="A122">
        <v>0</v>
      </c>
      <c r="B122" s="2">
        <v>42963.456872789349</v>
      </c>
      <c r="C122" t="s">
        <v>2</v>
      </c>
      <c r="D122" s="3">
        <v>1</v>
      </c>
      <c r="E122">
        <v>7.4999999999999997E-2</v>
      </c>
      <c r="F122">
        <v>20</v>
      </c>
      <c r="G122">
        <v>8.6662338887544905</v>
      </c>
      <c r="H122">
        <v>1.05167473399963</v>
      </c>
      <c r="I122">
        <v>0.105746994322699</v>
      </c>
    </row>
    <row r="123" spans="1:9" x14ac:dyDescent="0.2">
      <c r="A123">
        <v>0</v>
      </c>
      <c r="B123" s="2">
        <v>42963.479237210646</v>
      </c>
      <c r="C123" t="s">
        <v>2</v>
      </c>
      <c r="D123" s="3">
        <v>1</v>
      </c>
      <c r="E123">
        <v>0.1</v>
      </c>
      <c r="F123">
        <v>20</v>
      </c>
      <c r="G123">
        <v>8.7517639700874597</v>
      </c>
      <c r="H123">
        <v>0.95756476783135402</v>
      </c>
      <c r="I123">
        <v>0.10447074561181401</v>
      </c>
    </row>
    <row r="124" spans="1:9" x14ac:dyDescent="0.2">
      <c r="A124">
        <v>0</v>
      </c>
      <c r="B124" s="2">
        <v>42963.501587650462</v>
      </c>
      <c r="C124" t="s">
        <v>2</v>
      </c>
      <c r="D124" s="3">
        <v>1</v>
      </c>
      <c r="E124">
        <v>0.15</v>
      </c>
      <c r="F124">
        <v>20</v>
      </c>
      <c r="G124">
        <v>8.8319827972395206</v>
      </c>
      <c r="H124">
        <v>1.00665263014507</v>
      </c>
      <c r="I124">
        <v>0.10555638997776599</v>
      </c>
    </row>
  </sheetData>
  <autoFilter ref="A1:I1">
    <sortState ref="A2:I124">
      <sortCondition ref="C1:C124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2017-08-08T20:26:53Z</dcterms:created>
  <dcterms:modified xsi:type="dcterms:W3CDTF">2017-08-25T09:53:25Z</dcterms:modified>
</cp:coreProperties>
</file>